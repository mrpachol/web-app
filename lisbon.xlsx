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ather_data" sheetId="1" r:id="rId5"/>
    <sheet state="visible" name="README" sheetId="2" r:id="rId6"/>
    <sheet state="visible" name="viz_helper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Synthetic dataset generated to resemble Lisbon weather over the last 12 months. Fields match your Python project structure and are suitable for visualizations.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Derived helper fields to speed up charts and pivot tables.</t>
      </text>
    </comment>
  </commentList>
</comments>
</file>

<file path=xl/sharedStrings.xml><?xml version="1.0" encoding="utf-8"?>
<sst xmlns="http://schemas.openxmlformats.org/spreadsheetml/2006/main" count="730" uniqueCount="39">
  <si>
    <t>record_id</t>
  </si>
  <si>
    <t>timestamp</t>
  </si>
  <si>
    <t>name</t>
  </si>
  <si>
    <t>temp</t>
  </si>
  <si>
    <t>feels_like</t>
  </si>
  <si>
    <t>humidity</t>
  </si>
  <si>
    <t>pressure</t>
  </si>
  <si>
    <t>description</t>
  </si>
  <si>
    <t>wind</t>
  </si>
  <si>
    <t>Lisbon</t>
  </si>
  <si>
    <t>clear sky</t>
  </si>
  <si>
    <t>moderate rain</t>
  </si>
  <si>
    <t>scattered clouds</t>
  </si>
  <si>
    <t>light rain</t>
  </si>
  <si>
    <t>few clouds</t>
  </si>
  <si>
    <t>drizzle</t>
  </si>
  <si>
    <t>overcast clouds</t>
  </si>
  <si>
    <t>broken clouds</t>
  </si>
  <si>
    <t>thunderstorm</t>
  </si>
  <si>
    <t>mist</t>
  </si>
  <si>
    <t>Lisbon weather dataset (synthetic)</t>
  </si>
  <si>
    <t>Miasto</t>
  </si>
  <si>
    <t>Liczba rekordów</t>
  </si>
  <si>
    <t>Zakres dat</t>
  </si>
  <si>
    <t>Typ danych</t>
  </si>
  <si>
    <t>synthetic / generated</t>
  </si>
  <si>
    <t>Kolumny</t>
  </si>
  <si>
    <t>record_id, timestamp, name, temp_c, feels_like_c, humidity_pct, pressure_hpa, description, wind_speed_kmh</t>
  </si>
  <si>
    <t>Użycie</t>
  </si>
  <si>
    <t>Gotowe pod wykresy: trend temperatury, sezonowość, rozkład wilgotności, korelacja wiatr–odczuwalna temperatura.</t>
  </si>
  <si>
    <t>date_only</t>
  </si>
  <si>
    <t>year_month</t>
  </si>
  <si>
    <t>month_num</t>
  </si>
  <si>
    <t>month_name</t>
  </si>
  <si>
    <t>quarter</t>
  </si>
  <si>
    <t>season</t>
  </si>
  <si>
    <t>temp_delta</t>
  </si>
  <si>
    <t>rainy_flag</t>
  </si>
  <si>
    <t>windy_flag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</si>
</sst>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h:mm"/>
    <numFmt numFmtId="165" formatCode="0.0"/>
    <numFmt numFmtId="166" formatCode="yyyy-mm-dd"/>
  </numFmts>
  <fonts count="8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4.0"/>
      <color rgb="FF1F1F1F"/>
      <name val="Calibri"/>
      <scheme val="minor"/>
    </font>
    <font/>
    <font>
      <b/>
      <color theme="1"/>
      <name val="Calibri"/>
      <scheme val="minor"/>
    </font>
    <font>
      <color rgb="FF000000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EAF2F8"/>
        <bgColor rgb="FFEAF2F8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0" fontId="2" numFmtId="0" xfId="0" applyFont="1"/>
    <xf borderId="0" fillId="0" fontId="3" numFmtId="164" xfId="0" applyFont="1" applyNumberFormat="1"/>
    <xf borderId="0" fillId="0" fontId="3" numFmtId="165" xfId="0" applyFont="1" applyNumberFormat="1"/>
    <xf borderId="0" fillId="0" fontId="3" numFmtId="1" xfId="0" applyFont="1" applyNumberFormat="1"/>
    <xf borderId="2" fillId="3" fontId="4" numFmtId="0" xfId="0" applyBorder="1" applyFill="1" applyFont="1"/>
    <xf borderId="3" fillId="0" fontId="5" numFmtId="0" xfId="0" applyBorder="1" applyFont="1"/>
    <xf borderId="4" fillId="0" fontId="5" numFmtId="0" xfId="0" applyBorder="1" applyFont="1"/>
    <xf borderId="1" fillId="4" fontId="6" numFmtId="0" xfId="0" applyBorder="1" applyFill="1" applyFont="1"/>
    <xf borderId="0" fillId="0" fontId="2" numFmtId="0" xfId="0" applyFont="1"/>
    <xf borderId="0" fillId="0" fontId="3" numFmtId="166" xfId="0" applyFont="1" applyNumberFormat="1"/>
    <xf borderId="0" fillId="0" fontId="7" numFmtId="164" xfId="0" applyFont="1" applyNumberFormat="1"/>
    <xf borderId="0" fillId="0" fontId="7" numFmtId="166" xfId="0" applyFont="1" applyNumberFormat="1"/>
    <xf borderId="0" fillId="0" fontId="7" numFmtId="0" xfId="0" applyFont="1"/>
    <xf borderId="0" fillId="0" fontId="7" numFmtId="165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2">
    <tableStyle count="3" pivot="0" name="weather_data-style">
      <tableStyleElement dxfId="1" type="headerRow"/>
      <tableStyleElement dxfId="2" type="firstRowStripe"/>
      <tableStyleElement dxfId="3" type="secondRowStripe"/>
    </tableStyle>
    <tableStyle count="3" pivot="0" name="viz_helper-style">
      <tableStyleElement dxfId="1" type="headerRow"/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51" displayName="Table_1" name="Table_1" id="1">
  <tableColumns count="9">
    <tableColumn name="record_id" id="1"/>
    <tableColumn name="timestamp" id="2"/>
    <tableColumn name="name" id="3"/>
    <tableColumn name="temp" id="4"/>
    <tableColumn name="feels_like" id="5"/>
    <tableColumn name="humidity" id="6"/>
    <tableColumn name="pressure" id="7"/>
    <tableColumn name="description" id="8"/>
    <tableColumn name="wind" id="9"/>
  </tableColumns>
  <tableStyleInfo name="weather_data-style" showColumnStripes="0" showFirstColumn="1" showLastColumn="1" showRowStripes="1"/>
</table>
</file>

<file path=xl/tables/table2.xml><?xml version="1.0" encoding="utf-8"?>
<table xmlns="http://schemas.openxmlformats.org/spreadsheetml/2006/main" ref="A1:J351" displayName="Table_2" name="Table_2" id="2">
  <tableColumns count="10">
    <tableColumn name="timestamp" id="1"/>
    <tableColumn name="date_only" id="2"/>
    <tableColumn name="year_month" id="3"/>
    <tableColumn name="month_num" id="4"/>
    <tableColumn name="month_name" id="5"/>
    <tableColumn name="quarter" id="6"/>
    <tableColumn name="season" id="7"/>
    <tableColumn name="temp_delta" id="8"/>
    <tableColumn name="rainy_flag" id="9"/>
    <tableColumn name="windy_flag" id="10"/>
  </tableColumns>
  <tableStyleInfo name="viz_help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19.0"/>
    <col customWidth="1" min="3" max="3" width="12.0"/>
    <col customWidth="1" min="4" max="4" width="10.0"/>
    <col customWidth="1" min="5" max="7" width="12.0"/>
    <col customWidth="1" min="8" max="8" width="20.0"/>
    <col customWidth="1" min="9" max="9" width="14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</row>
    <row r="2">
      <c r="A2" s="3">
        <v>1.0</v>
      </c>
      <c r="B2" s="4">
        <v>45754.59027777778</v>
      </c>
      <c r="C2" s="3" t="s">
        <v>9</v>
      </c>
      <c r="D2" s="5">
        <v>15.7</v>
      </c>
      <c r="E2" s="5">
        <v>14.7</v>
      </c>
      <c r="F2" s="6">
        <v>70.0</v>
      </c>
      <c r="G2" s="6">
        <v>1020.0</v>
      </c>
      <c r="H2" s="3" t="s">
        <v>10</v>
      </c>
      <c r="I2" s="5">
        <v>18.6</v>
      </c>
    </row>
    <row r="3">
      <c r="A3" s="3">
        <v>2.0</v>
      </c>
      <c r="B3" s="4">
        <v>45755.70833333334</v>
      </c>
      <c r="C3" s="3" t="s">
        <v>9</v>
      </c>
      <c r="D3" s="5">
        <v>16.7</v>
      </c>
      <c r="E3" s="5">
        <v>16.9</v>
      </c>
      <c r="F3" s="6">
        <v>85.0</v>
      </c>
      <c r="G3" s="6">
        <v>1015.0</v>
      </c>
      <c r="H3" s="3" t="s">
        <v>11</v>
      </c>
      <c r="I3" s="5">
        <v>26.6</v>
      </c>
    </row>
    <row r="4">
      <c r="A4" s="3">
        <v>3.0</v>
      </c>
      <c r="B4" s="4">
        <v>45756.55555555555</v>
      </c>
      <c r="C4" s="3" t="s">
        <v>9</v>
      </c>
      <c r="D4" s="5">
        <v>15.5</v>
      </c>
      <c r="E4" s="5">
        <v>14.6</v>
      </c>
      <c r="F4" s="6">
        <v>77.0</v>
      </c>
      <c r="G4" s="6">
        <v>1020.0</v>
      </c>
      <c r="H4" s="3" t="s">
        <v>12</v>
      </c>
      <c r="I4" s="5">
        <v>23.3</v>
      </c>
    </row>
    <row r="5">
      <c r="A5" s="3">
        <v>4.0</v>
      </c>
      <c r="B5" s="4">
        <v>45757.63194444445</v>
      </c>
      <c r="C5" s="3" t="s">
        <v>9</v>
      </c>
      <c r="D5" s="5">
        <v>18.3</v>
      </c>
      <c r="E5" s="5">
        <v>18.9</v>
      </c>
      <c r="F5" s="6">
        <v>69.0</v>
      </c>
      <c r="G5" s="6">
        <v>1022.0</v>
      </c>
      <c r="H5" s="3" t="s">
        <v>10</v>
      </c>
      <c r="I5" s="5">
        <v>17.2</v>
      </c>
    </row>
    <row r="6">
      <c r="A6" s="3">
        <v>5.0</v>
      </c>
      <c r="B6" s="4">
        <v>45758.86111111111</v>
      </c>
      <c r="C6" s="3" t="s">
        <v>9</v>
      </c>
      <c r="D6" s="5">
        <v>14.4</v>
      </c>
      <c r="E6" s="5">
        <v>14.6</v>
      </c>
      <c r="F6" s="6">
        <v>65.0</v>
      </c>
      <c r="G6" s="6">
        <v>1017.0</v>
      </c>
      <c r="H6" s="3" t="s">
        <v>10</v>
      </c>
      <c r="I6" s="5">
        <v>18.8</v>
      </c>
    </row>
    <row r="7">
      <c r="A7" s="3">
        <v>6.0</v>
      </c>
      <c r="B7" s="4">
        <v>45759.65277777778</v>
      </c>
      <c r="C7" s="3" t="s">
        <v>9</v>
      </c>
      <c r="D7" s="5">
        <v>16.1</v>
      </c>
      <c r="E7" s="5">
        <v>16.9</v>
      </c>
      <c r="F7" s="6">
        <v>84.0</v>
      </c>
      <c r="G7" s="6">
        <v>1016.0</v>
      </c>
      <c r="H7" s="3" t="s">
        <v>13</v>
      </c>
      <c r="I7" s="5">
        <v>19.2</v>
      </c>
    </row>
    <row r="8">
      <c r="A8" s="3">
        <v>7.0</v>
      </c>
      <c r="B8" s="4">
        <v>45760.28472222222</v>
      </c>
      <c r="C8" s="3" t="s">
        <v>9</v>
      </c>
      <c r="D8" s="5">
        <v>15.0</v>
      </c>
      <c r="E8" s="5">
        <v>15.1</v>
      </c>
      <c r="F8" s="6">
        <v>82.0</v>
      </c>
      <c r="G8" s="6">
        <v>1017.0</v>
      </c>
      <c r="H8" s="3" t="s">
        <v>10</v>
      </c>
      <c r="I8" s="5">
        <v>21.0</v>
      </c>
    </row>
    <row r="9">
      <c r="A9" s="3">
        <v>8.0</v>
      </c>
      <c r="B9" s="4">
        <v>45761.65972222222</v>
      </c>
      <c r="C9" s="3" t="s">
        <v>9</v>
      </c>
      <c r="D9" s="5">
        <v>17.2</v>
      </c>
      <c r="E9" s="5">
        <v>17.9</v>
      </c>
      <c r="F9" s="6">
        <v>81.0</v>
      </c>
      <c r="G9" s="6">
        <v>1018.0</v>
      </c>
      <c r="H9" s="3" t="s">
        <v>10</v>
      </c>
      <c r="I9" s="5">
        <v>25.4</v>
      </c>
    </row>
    <row r="10">
      <c r="A10" s="3">
        <v>9.0</v>
      </c>
      <c r="B10" s="4">
        <v>45762.38194444445</v>
      </c>
      <c r="C10" s="3" t="s">
        <v>9</v>
      </c>
      <c r="D10" s="5">
        <v>16.3</v>
      </c>
      <c r="E10" s="5">
        <v>16.3</v>
      </c>
      <c r="F10" s="6">
        <v>95.0</v>
      </c>
      <c r="G10" s="6">
        <v>1016.0</v>
      </c>
      <c r="H10" s="3" t="s">
        <v>11</v>
      </c>
      <c r="I10" s="5">
        <v>26.5</v>
      </c>
    </row>
    <row r="11">
      <c r="A11" s="3">
        <v>10.0</v>
      </c>
      <c r="B11" s="4">
        <v>45763.58333333334</v>
      </c>
      <c r="C11" s="3" t="s">
        <v>9</v>
      </c>
      <c r="D11" s="5">
        <v>18.5</v>
      </c>
      <c r="E11" s="5">
        <v>18.3</v>
      </c>
      <c r="F11" s="6">
        <v>63.0</v>
      </c>
      <c r="G11" s="6">
        <v>1022.0</v>
      </c>
      <c r="H11" s="3" t="s">
        <v>10</v>
      </c>
      <c r="I11" s="5">
        <v>17.6</v>
      </c>
    </row>
    <row r="12">
      <c r="A12" s="3">
        <v>11.0</v>
      </c>
      <c r="B12" s="4">
        <v>45764.40972222222</v>
      </c>
      <c r="C12" s="3" t="s">
        <v>9</v>
      </c>
      <c r="D12" s="5">
        <v>12.8</v>
      </c>
      <c r="E12" s="5">
        <v>12.0</v>
      </c>
      <c r="F12" s="6">
        <v>67.0</v>
      </c>
      <c r="G12" s="6">
        <v>1023.0</v>
      </c>
      <c r="H12" s="3" t="s">
        <v>10</v>
      </c>
      <c r="I12" s="5">
        <v>16.1</v>
      </c>
    </row>
    <row r="13">
      <c r="A13" s="3">
        <v>12.0</v>
      </c>
      <c r="B13" s="4">
        <v>45765.43055555555</v>
      </c>
      <c r="C13" s="3" t="s">
        <v>9</v>
      </c>
      <c r="D13" s="5">
        <v>15.9</v>
      </c>
      <c r="E13" s="5">
        <v>15.9</v>
      </c>
      <c r="F13" s="6">
        <v>88.0</v>
      </c>
      <c r="G13" s="6">
        <v>1014.0</v>
      </c>
      <c r="H13" s="3" t="s">
        <v>14</v>
      </c>
      <c r="I13" s="5">
        <v>17.1</v>
      </c>
    </row>
    <row r="14">
      <c r="A14" s="3">
        <v>13.0</v>
      </c>
      <c r="B14" s="4">
        <v>45766.65277777778</v>
      </c>
      <c r="C14" s="3" t="s">
        <v>9</v>
      </c>
      <c r="D14" s="5">
        <v>17.0</v>
      </c>
      <c r="E14" s="5">
        <v>16.2</v>
      </c>
      <c r="F14" s="6">
        <v>95.0</v>
      </c>
      <c r="G14" s="6">
        <v>1021.0</v>
      </c>
      <c r="H14" s="3" t="s">
        <v>15</v>
      </c>
      <c r="I14" s="5">
        <v>21.3</v>
      </c>
    </row>
    <row r="15">
      <c r="A15" s="3">
        <v>14.0</v>
      </c>
      <c r="B15" s="4">
        <v>45767.53472222222</v>
      </c>
      <c r="C15" s="3" t="s">
        <v>9</v>
      </c>
      <c r="D15" s="5">
        <v>18.4</v>
      </c>
      <c r="E15" s="5">
        <v>18.7</v>
      </c>
      <c r="F15" s="6">
        <v>72.0</v>
      </c>
      <c r="G15" s="6">
        <v>1016.0</v>
      </c>
      <c r="H15" s="3" t="s">
        <v>10</v>
      </c>
      <c r="I15" s="5">
        <v>26.7</v>
      </c>
    </row>
    <row r="16">
      <c r="A16" s="3">
        <v>15.0</v>
      </c>
      <c r="B16" s="4">
        <v>45768.67361111111</v>
      </c>
      <c r="C16" s="3" t="s">
        <v>9</v>
      </c>
      <c r="D16" s="5">
        <v>19.5</v>
      </c>
      <c r="E16" s="5">
        <v>20.5</v>
      </c>
      <c r="F16" s="6">
        <v>67.0</v>
      </c>
      <c r="G16" s="6">
        <v>1019.0</v>
      </c>
      <c r="H16" s="3" t="s">
        <v>16</v>
      </c>
      <c r="I16" s="5">
        <v>19.6</v>
      </c>
    </row>
    <row r="17">
      <c r="A17" s="3">
        <v>16.0</v>
      </c>
      <c r="B17" s="4">
        <v>45769.61111111111</v>
      </c>
      <c r="C17" s="3" t="s">
        <v>9</v>
      </c>
      <c r="D17" s="5">
        <v>19.9</v>
      </c>
      <c r="E17" s="5">
        <v>18.9</v>
      </c>
      <c r="F17" s="6">
        <v>77.0</v>
      </c>
      <c r="G17" s="6">
        <v>1010.0</v>
      </c>
      <c r="H17" s="3" t="s">
        <v>15</v>
      </c>
      <c r="I17" s="5">
        <v>17.6</v>
      </c>
    </row>
    <row r="18">
      <c r="A18" s="3">
        <v>17.0</v>
      </c>
      <c r="B18" s="4">
        <v>45770.88888888889</v>
      </c>
      <c r="C18" s="3" t="s">
        <v>9</v>
      </c>
      <c r="D18" s="5">
        <v>21.9</v>
      </c>
      <c r="E18" s="5">
        <v>21.3</v>
      </c>
      <c r="F18" s="6">
        <v>65.0</v>
      </c>
      <c r="G18" s="6">
        <v>1019.0</v>
      </c>
      <c r="H18" s="3" t="s">
        <v>13</v>
      </c>
      <c r="I18" s="5">
        <v>19.6</v>
      </c>
    </row>
    <row r="19">
      <c r="A19" s="3">
        <v>18.0</v>
      </c>
      <c r="B19" s="4">
        <v>45771.29166666666</v>
      </c>
      <c r="C19" s="3" t="s">
        <v>9</v>
      </c>
      <c r="D19" s="5">
        <v>16.0</v>
      </c>
      <c r="E19" s="5">
        <v>17.2</v>
      </c>
      <c r="F19" s="6">
        <v>67.0</v>
      </c>
      <c r="G19" s="6">
        <v>1020.0</v>
      </c>
      <c r="H19" s="3" t="s">
        <v>10</v>
      </c>
      <c r="I19" s="5">
        <v>20.7</v>
      </c>
    </row>
    <row r="20">
      <c r="A20" s="3">
        <v>19.0</v>
      </c>
      <c r="B20" s="4">
        <v>45772.80555555555</v>
      </c>
      <c r="C20" s="3" t="s">
        <v>9</v>
      </c>
      <c r="D20" s="5">
        <v>18.8</v>
      </c>
      <c r="E20" s="5">
        <v>18.4</v>
      </c>
      <c r="F20" s="6">
        <v>67.0</v>
      </c>
      <c r="G20" s="6">
        <v>1015.0</v>
      </c>
      <c r="H20" s="3" t="s">
        <v>16</v>
      </c>
      <c r="I20" s="5">
        <v>14.5</v>
      </c>
    </row>
    <row r="21" ht="15.75" customHeight="1">
      <c r="A21" s="3">
        <v>20.0</v>
      </c>
      <c r="B21" s="4">
        <v>45773.29166666666</v>
      </c>
      <c r="C21" s="3" t="s">
        <v>9</v>
      </c>
      <c r="D21" s="5">
        <v>13.9</v>
      </c>
      <c r="E21" s="5">
        <v>14.8</v>
      </c>
      <c r="F21" s="6">
        <v>69.0</v>
      </c>
      <c r="G21" s="6">
        <v>1020.0</v>
      </c>
      <c r="H21" s="3" t="s">
        <v>10</v>
      </c>
      <c r="I21" s="5">
        <v>16.3</v>
      </c>
    </row>
    <row r="22" ht="15.75" customHeight="1">
      <c r="A22" s="3">
        <v>21.0</v>
      </c>
      <c r="B22" s="4">
        <v>45774.67361111111</v>
      </c>
      <c r="C22" s="3" t="s">
        <v>9</v>
      </c>
      <c r="D22" s="5">
        <v>20.0</v>
      </c>
      <c r="E22" s="5">
        <v>21.0</v>
      </c>
      <c r="F22" s="6">
        <v>77.0</v>
      </c>
      <c r="G22" s="6">
        <v>1016.0</v>
      </c>
      <c r="H22" s="3" t="s">
        <v>16</v>
      </c>
      <c r="I22" s="5">
        <v>17.0</v>
      </c>
    </row>
    <row r="23" ht="15.75" customHeight="1">
      <c r="A23" s="3">
        <v>22.0</v>
      </c>
      <c r="B23" s="4">
        <v>45775.59027777778</v>
      </c>
      <c r="C23" s="3" t="s">
        <v>9</v>
      </c>
      <c r="D23" s="5">
        <v>15.9</v>
      </c>
      <c r="E23" s="5">
        <v>14.9</v>
      </c>
      <c r="F23" s="6">
        <v>71.0</v>
      </c>
      <c r="G23" s="6">
        <v>1019.0</v>
      </c>
      <c r="H23" s="3" t="s">
        <v>16</v>
      </c>
      <c r="I23" s="5">
        <v>23.3</v>
      </c>
    </row>
    <row r="24" ht="15.75" customHeight="1">
      <c r="A24" s="3">
        <v>23.0</v>
      </c>
      <c r="B24" s="4">
        <v>45776.86111111111</v>
      </c>
      <c r="C24" s="3" t="s">
        <v>9</v>
      </c>
      <c r="D24" s="5">
        <v>18.7</v>
      </c>
      <c r="E24" s="5">
        <v>18.5</v>
      </c>
      <c r="F24" s="6">
        <v>69.0</v>
      </c>
      <c r="G24" s="6">
        <v>1011.0</v>
      </c>
      <c r="H24" s="3" t="s">
        <v>10</v>
      </c>
      <c r="I24" s="5">
        <v>16.7</v>
      </c>
    </row>
    <row r="25" ht="15.75" customHeight="1">
      <c r="A25" s="3">
        <v>24.0</v>
      </c>
      <c r="B25" s="4">
        <v>45777.81944444445</v>
      </c>
      <c r="C25" s="3" t="s">
        <v>9</v>
      </c>
      <c r="D25" s="5">
        <v>18.5</v>
      </c>
      <c r="E25" s="5">
        <v>18.3</v>
      </c>
      <c r="F25" s="6">
        <v>86.0</v>
      </c>
      <c r="G25" s="6">
        <v>1017.0</v>
      </c>
      <c r="H25" s="3" t="s">
        <v>12</v>
      </c>
      <c r="I25" s="5">
        <v>17.3</v>
      </c>
    </row>
    <row r="26" ht="15.75" customHeight="1">
      <c r="A26" s="3">
        <v>25.0</v>
      </c>
      <c r="B26" s="4">
        <v>45778.25</v>
      </c>
      <c r="C26" s="3" t="s">
        <v>9</v>
      </c>
      <c r="D26" s="5">
        <v>15.4</v>
      </c>
      <c r="E26" s="5">
        <v>16.6</v>
      </c>
      <c r="F26" s="6">
        <v>76.0</v>
      </c>
      <c r="G26" s="6">
        <v>1021.0</v>
      </c>
      <c r="H26" s="3" t="s">
        <v>10</v>
      </c>
      <c r="I26" s="5">
        <v>18.5</v>
      </c>
    </row>
    <row r="27" ht="15.75" customHeight="1">
      <c r="A27" s="3">
        <v>26.0</v>
      </c>
      <c r="B27" s="4">
        <v>45779.36805555555</v>
      </c>
      <c r="C27" s="3" t="s">
        <v>9</v>
      </c>
      <c r="D27" s="5">
        <v>17.7</v>
      </c>
      <c r="E27" s="5">
        <v>17.6</v>
      </c>
      <c r="F27" s="6">
        <v>58.0</v>
      </c>
      <c r="G27" s="6">
        <v>1024.0</v>
      </c>
      <c r="H27" s="3" t="s">
        <v>16</v>
      </c>
      <c r="I27" s="5">
        <v>23.0</v>
      </c>
    </row>
    <row r="28" ht="15.75" customHeight="1">
      <c r="A28" s="3">
        <v>27.0</v>
      </c>
      <c r="B28" s="4">
        <v>45780.44444444445</v>
      </c>
      <c r="C28" s="3" t="s">
        <v>9</v>
      </c>
      <c r="D28" s="5">
        <v>16.2</v>
      </c>
      <c r="E28" s="5">
        <v>16.1</v>
      </c>
      <c r="F28" s="6">
        <v>79.0</v>
      </c>
      <c r="G28" s="6">
        <v>1023.0</v>
      </c>
      <c r="H28" s="3" t="s">
        <v>10</v>
      </c>
      <c r="I28" s="5">
        <v>17.5</v>
      </c>
    </row>
    <row r="29" ht="15.75" customHeight="1">
      <c r="A29" s="3">
        <v>28.0</v>
      </c>
      <c r="B29" s="4">
        <v>45781.30555555555</v>
      </c>
      <c r="C29" s="3" t="s">
        <v>9</v>
      </c>
      <c r="D29" s="5">
        <v>11.8</v>
      </c>
      <c r="E29" s="5">
        <v>13.0</v>
      </c>
      <c r="F29" s="6">
        <v>81.0</v>
      </c>
      <c r="G29" s="6">
        <v>1023.0</v>
      </c>
      <c r="H29" s="3" t="s">
        <v>10</v>
      </c>
      <c r="I29" s="5">
        <v>17.1</v>
      </c>
    </row>
    <row r="30" ht="15.75" customHeight="1">
      <c r="A30" s="3">
        <v>29.0</v>
      </c>
      <c r="B30" s="4">
        <v>45782.4375</v>
      </c>
      <c r="C30" s="3" t="s">
        <v>9</v>
      </c>
      <c r="D30" s="5">
        <v>14.1</v>
      </c>
      <c r="E30" s="5">
        <v>13.3</v>
      </c>
      <c r="F30" s="6">
        <v>65.0</v>
      </c>
      <c r="G30" s="6">
        <v>1019.0</v>
      </c>
      <c r="H30" s="3" t="s">
        <v>10</v>
      </c>
      <c r="I30" s="5">
        <v>15.6</v>
      </c>
    </row>
    <row r="31" ht="15.75" customHeight="1">
      <c r="A31" s="3">
        <v>30.0</v>
      </c>
      <c r="B31" s="4">
        <v>45783.41666666666</v>
      </c>
      <c r="C31" s="3" t="s">
        <v>9</v>
      </c>
      <c r="D31" s="5">
        <v>16.7</v>
      </c>
      <c r="E31" s="5">
        <v>17.7</v>
      </c>
      <c r="F31" s="6">
        <v>70.0</v>
      </c>
      <c r="G31" s="6">
        <v>1019.0</v>
      </c>
      <c r="H31" s="3" t="s">
        <v>10</v>
      </c>
      <c r="I31" s="5">
        <v>20.5</v>
      </c>
    </row>
    <row r="32" ht="15.75" customHeight="1">
      <c r="A32" s="3">
        <v>31.0</v>
      </c>
      <c r="B32" s="4">
        <v>45784.63888888889</v>
      </c>
      <c r="C32" s="3" t="s">
        <v>9</v>
      </c>
      <c r="D32" s="5">
        <v>19.1</v>
      </c>
      <c r="E32" s="5">
        <v>19.2</v>
      </c>
      <c r="F32" s="6">
        <v>84.0</v>
      </c>
      <c r="G32" s="6">
        <v>1014.0</v>
      </c>
      <c r="H32" s="3" t="s">
        <v>14</v>
      </c>
      <c r="I32" s="5">
        <v>17.2</v>
      </c>
    </row>
    <row r="33" ht="15.75" customHeight="1">
      <c r="A33" s="3">
        <v>32.0</v>
      </c>
      <c r="B33" s="4">
        <v>45785.30555555555</v>
      </c>
      <c r="C33" s="3" t="s">
        <v>9</v>
      </c>
      <c r="D33" s="5">
        <v>17.0</v>
      </c>
      <c r="E33" s="5">
        <v>17.4</v>
      </c>
      <c r="F33" s="6">
        <v>72.0</v>
      </c>
      <c r="G33" s="6">
        <v>1016.0</v>
      </c>
      <c r="H33" s="3" t="s">
        <v>14</v>
      </c>
      <c r="I33" s="5">
        <v>17.2</v>
      </c>
    </row>
    <row r="34" ht="15.75" customHeight="1">
      <c r="A34" s="3">
        <v>33.0</v>
      </c>
      <c r="B34" s="4">
        <v>45786.53472222222</v>
      </c>
      <c r="C34" s="3" t="s">
        <v>9</v>
      </c>
      <c r="D34" s="5">
        <v>16.8</v>
      </c>
      <c r="E34" s="5">
        <v>18.0</v>
      </c>
      <c r="F34" s="6">
        <v>80.0</v>
      </c>
      <c r="G34" s="6">
        <v>1017.0</v>
      </c>
      <c r="H34" s="3" t="s">
        <v>14</v>
      </c>
      <c r="I34" s="5">
        <v>15.6</v>
      </c>
    </row>
    <row r="35" ht="15.75" customHeight="1">
      <c r="A35" s="3">
        <v>34.0</v>
      </c>
      <c r="B35" s="4">
        <v>45787.57638888889</v>
      </c>
      <c r="C35" s="3" t="s">
        <v>9</v>
      </c>
      <c r="D35" s="5">
        <v>18.6</v>
      </c>
      <c r="E35" s="5">
        <v>18.3</v>
      </c>
      <c r="F35" s="6">
        <v>66.0</v>
      </c>
      <c r="G35" s="6">
        <v>1020.0</v>
      </c>
      <c r="H35" s="3" t="s">
        <v>10</v>
      </c>
      <c r="I35" s="5">
        <v>17.5</v>
      </c>
    </row>
    <row r="36" ht="15.75" customHeight="1">
      <c r="A36" s="3">
        <v>35.0</v>
      </c>
      <c r="B36" s="4">
        <v>45788.38888888889</v>
      </c>
      <c r="C36" s="3" t="s">
        <v>9</v>
      </c>
      <c r="D36" s="5">
        <v>18.0</v>
      </c>
      <c r="E36" s="5">
        <v>18.7</v>
      </c>
      <c r="F36" s="6">
        <v>80.0</v>
      </c>
      <c r="G36" s="6">
        <v>1015.0</v>
      </c>
      <c r="H36" s="3" t="s">
        <v>10</v>
      </c>
      <c r="I36" s="5">
        <v>19.8</v>
      </c>
    </row>
    <row r="37" ht="15.75" customHeight="1">
      <c r="A37" s="3">
        <v>36.0</v>
      </c>
      <c r="B37" s="4">
        <v>45789.81944444445</v>
      </c>
      <c r="C37" s="3" t="s">
        <v>9</v>
      </c>
      <c r="D37" s="5">
        <v>20.0</v>
      </c>
      <c r="E37" s="5">
        <v>19.3</v>
      </c>
      <c r="F37" s="6">
        <v>91.0</v>
      </c>
      <c r="G37" s="6">
        <v>1017.0</v>
      </c>
      <c r="H37" s="3" t="s">
        <v>13</v>
      </c>
      <c r="I37" s="5">
        <v>15.2</v>
      </c>
    </row>
    <row r="38" ht="15.75" customHeight="1">
      <c r="A38" s="3">
        <v>37.0</v>
      </c>
      <c r="B38" s="4">
        <v>45790.42361111111</v>
      </c>
      <c r="C38" s="3" t="s">
        <v>9</v>
      </c>
      <c r="D38" s="5">
        <v>15.2</v>
      </c>
      <c r="E38" s="5">
        <v>16.2</v>
      </c>
      <c r="F38" s="6">
        <v>84.0</v>
      </c>
      <c r="G38" s="6">
        <v>1019.0</v>
      </c>
      <c r="H38" s="3" t="s">
        <v>16</v>
      </c>
      <c r="I38" s="5">
        <v>19.0</v>
      </c>
    </row>
    <row r="39" ht="15.75" customHeight="1">
      <c r="A39" s="3">
        <v>38.0</v>
      </c>
      <c r="B39" s="4">
        <v>45791.46527777778</v>
      </c>
      <c r="C39" s="3" t="s">
        <v>9</v>
      </c>
      <c r="D39" s="5">
        <v>19.4</v>
      </c>
      <c r="E39" s="5">
        <v>18.5</v>
      </c>
      <c r="F39" s="6">
        <v>77.0</v>
      </c>
      <c r="G39" s="6">
        <v>1017.0</v>
      </c>
      <c r="H39" s="3" t="s">
        <v>12</v>
      </c>
      <c r="I39" s="5">
        <v>14.9</v>
      </c>
    </row>
    <row r="40" ht="15.75" customHeight="1">
      <c r="A40" s="3">
        <v>39.0</v>
      </c>
      <c r="B40" s="4">
        <v>45792.79166666666</v>
      </c>
      <c r="C40" s="3" t="s">
        <v>9</v>
      </c>
      <c r="D40" s="5">
        <v>22.6</v>
      </c>
      <c r="E40" s="5">
        <v>23.0</v>
      </c>
      <c r="F40" s="6">
        <v>66.0</v>
      </c>
      <c r="G40" s="6">
        <v>1013.0</v>
      </c>
      <c r="H40" s="3" t="s">
        <v>10</v>
      </c>
      <c r="I40" s="5">
        <v>17.4</v>
      </c>
    </row>
    <row r="41" ht="15.75" customHeight="1">
      <c r="A41" s="3">
        <v>40.0</v>
      </c>
      <c r="B41" s="4">
        <v>45793.49305555555</v>
      </c>
      <c r="C41" s="3" t="s">
        <v>9</v>
      </c>
      <c r="D41" s="5">
        <v>17.6</v>
      </c>
      <c r="E41" s="5">
        <v>16.5</v>
      </c>
      <c r="F41" s="6">
        <v>74.0</v>
      </c>
      <c r="G41" s="6">
        <v>1013.0</v>
      </c>
      <c r="H41" s="3" t="s">
        <v>14</v>
      </c>
      <c r="I41" s="5">
        <v>18.1</v>
      </c>
    </row>
    <row r="42" ht="15.75" customHeight="1">
      <c r="A42" s="3">
        <v>41.0</v>
      </c>
      <c r="B42" s="4">
        <v>45794.6875</v>
      </c>
      <c r="C42" s="3" t="s">
        <v>9</v>
      </c>
      <c r="D42" s="5">
        <v>17.9</v>
      </c>
      <c r="E42" s="5">
        <v>18.3</v>
      </c>
      <c r="F42" s="6">
        <v>85.0</v>
      </c>
      <c r="G42" s="6">
        <v>1017.0</v>
      </c>
      <c r="H42" s="3" t="s">
        <v>17</v>
      </c>
      <c r="I42" s="5">
        <v>13.9</v>
      </c>
    </row>
    <row r="43" ht="15.75" customHeight="1">
      <c r="A43" s="3">
        <v>42.0</v>
      </c>
      <c r="B43" s="4">
        <v>45795.55555555555</v>
      </c>
      <c r="C43" s="3" t="s">
        <v>9</v>
      </c>
      <c r="D43" s="5">
        <v>17.8</v>
      </c>
      <c r="E43" s="5">
        <v>17.2</v>
      </c>
      <c r="F43" s="6">
        <v>58.0</v>
      </c>
      <c r="G43" s="6">
        <v>1011.0</v>
      </c>
      <c r="H43" s="3" t="s">
        <v>10</v>
      </c>
      <c r="I43" s="5">
        <v>19.6</v>
      </c>
    </row>
    <row r="44" ht="15.75" customHeight="1">
      <c r="A44" s="3">
        <v>43.0</v>
      </c>
      <c r="B44" s="4">
        <v>45796.49305555555</v>
      </c>
      <c r="C44" s="3" t="s">
        <v>9</v>
      </c>
      <c r="D44" s="5">
        <v>18.2</v>
      </c>
      <c r="E44" s="5">
        <v>18.8</v>
      </c>
      <c r="F44" s="6">
        <v>93.0</v>
      </c>
      <c r="G44" s="6">
        <v>1016.0</v>
      </c>
      <c r="H44" s="3" t="s">
        <v>15</v>
      </c>
      <c r="I44" s="5">
        <v>18.1</v>
      </c>
    </row>
    <row r="45" ht="15.75" customHeight="1">
      <c r="A45" s="3">
        <v>44.0</v>
      </c>
      <c r="B45" s="4">
        <v>45797.39583333334</v>
      </c>
      <c r="C45" s="3" t="s">
        <v>9</v>
      </c>
      <c r="D45" s="5">
        <v>16.1</v>
      </c>
      <c r="E45" s="5">
        <v>16.9</v>
      </c>
      <c r="F45" s="6">
        <v>86.0</v>
      </c>
      <c r="G45" s="6">
        <v>1012.0</v>
      </c>
      <c r="H45" s="3" t="s">
        <v>11</v>
      </c>
      <c r="I45" s="5">
        <v>25.2</v>
      </c>
    </row>
    <row r="46" ht="15.75" customHeight="1">
      <c r="A46" s="3">
        <v>45.0</v>
      </c>
      <c r="B46" s="4">
        <v>45798.3125</v>
      </c>
      <c r="C46" s="3" t="s">
        <v>9</v>
      </c>
      <c r="D46" s="5">
        <v>17.9</v>
      </c>
      <c r="E46" s="5">
        <v>16.8</v>
      </c>
      <c r="F46" s="6">
        <v>68.0</v>
      </c>
      <c r="G46" s="6">
        <v>1014.0</v>
      </c>
      <c r="H46" s="3" t="s">
        <v>12</v>
      </c>
      <c r="I46" s="5">
        <v>17.3</v>
      </c>
    </row>
    <row r="47" ht="15.75" customHeight="1">
      <c r="A47" s="3">
        <v>46.0</v>
      </c>
      <c r="B47" s="4">
        <v>45799.54861111111</v>
      </c>
      <c r="C47" s="3" t="s">
        <v>9</v>
      </c>
      <c r="D47" s="5">
        <v>19.2</v>
      </c>
      <c r="E47" s="5">
        <v>20.1</v>
      </c>
      <c r="F47" s="6">
        <v>59.0</v>
      </c>
      <c r="G47" s="6">
        <v>1010.0</v>
      </c>
      <c r="H47" s="3" t="s">
        <v>10</v>
      </c>
      <c r="I47" s="5">
        <v>15.4</v>
      </c>
    </row>
    <row r="48" ht="15.75" customHeight="1">
      <c r="A48" s="3">
        <v>47.0</v>
      </c>
      <c r="B48" s="4">
        <v>45800.84722222222</v>
      </c>
      <c r="C48" s="3" t="s">
        <v>9</v>
      </c>
      <c r="D48" s="5">
        <v>22.1</v>
      </c>
      <c r="E48" s="5">
        <v>22.0</v>
      </c>
      <c r="F48" s="6">
        <v>75.0</v>
      </c>
      <c r="G48" s="6">
        <v>1019.0</v>
      </c>
      <c r="H48" s="3" t="s">
        <v>10</v>
      </c>
      <c r="I48" s="5">
        <v>13.5</v>
      </c>
    </row>
    <row r="49" ht="15.75" customHeight="1">
      <c r="A49" s="3">
        <v>48.0</v>
      </c>
      <c r="B49" s="4">
        <v>45801.63194444445</v>
      </c>
      <c r="C49" s="3" t="s">
        <v>9</v>
      </c>
      <c r="D49" s="5">
        <v>20.1</v>
      </c>
      <c r="E49" s="5">
        <v>21.2</v>
      </c>
      <c r="F49" s="6">
        <v>78.0</v>
      </c>
      <c r="G49" s="6">
        <v>1014.0</v>
      </c>
      <c r="H49" s="3" t="s">
        <v>11</v>
      </c>
      <c r="I49" s="5">
        <v>22.2</v>
      </c>
    </row>
    <row r="50" ht="15.75" customHeight="1">
      <c r="A50" s="3">
        <v>49.0</v>
      </c>
      <c r="B50" s="4">
        <v>45802.54166666666</v>
      </c>
      <c r="C50" s="3" t="s">
        <v>9</v>
      </c>
      <c r="D50" s="5">
        <v>19.1</v>
      </c>
      <c r="E50" s="5">
        <v>18.2</v>
      </c>
      <c r="F50" s="6">
        <v>59.0</v>
      </c>
      <c r="G50" s="6">
        <v>1008.0</v>
      </c>
      <c r="H50" s="3" t="s">
        <v>10</v>
      </c>
      <c r="I50" s="5">
        <v>22.3</v>
      </c>
    </row>
    <row r="51" ht="15.75" customHeight="1">
      <c r="A51" s="3">
        <v>50.0</v>
      </c>
      <c r="B51" s="4">
        <v>45803.52083333334</v>
      </c>
      <c r="C51" s="3" t="s">
        <v>9</v>
      </c>
      <c r="D51" s="5">
        <v>20.3</v>
      </c>
      <c r="E51" s="5">
        <v>20.7</v>
      </c>
      <c r="F51" s="6">
        <v>59.0</v>
      </c>
      <c r="G51" s="6">
        <v>1014.0</v>
      </c>
      <c r="H51" s="3" t="s">
        <v>10</v>
      </c>
      <c r="I51" s="5">
        <v>16.8</v>
      </c>
    </row>
    <row r="52" ht="15.75" customHeight="1">
      <c r="A52" s="3">
        <v>51.0</v>
      </c>
      <c r="B52" s="4">
        <v>45804.68055555555</v>
      </c>
      <c r="C52" s="3" t="s">
        <v>9</v>
      </c>
      <c r="D52" s="5">
        <v>19.3</v>
      </c>
      <c r="E52" s="5">
        <v>20.1</v>
      </c>
      <c r="F52" s="6">
        <v>78.0</v>
      </c>
      <c r="G52" s="6">
        <v>1018.0</v>
      </c>
      <c r="H52" s="3" t="s">
        <v>14</v>
      </c>
      <c r="I52" s="5">
        <v>18.9</v>
      </c>
    </row>
    <row r="53" ht="15.75" customHeight="1">
      <c r="A53" s="3">
        <v>52.0</v>
      </c>
      <c r="B53" s="4">
        <v>45805.34722222222</v>
      </c>
      <c r="C53" s="3" t="s">
        <v>9</v>
      </c>
      <c r="D53" s="5">
        <v>17.1</v>
      </c>
      <c r="E53" s="5">
        <v>17.0</v>
      </c>
      <c r="F53" s="6">
        <v>76.0</v>
      </c>
      <c r="G53" s="6">
        <v>1017.0</v>
      </c>
      <c r="H53" s="3" t="s">
        <v>12</v>
      </c>
      <c r="I53" s="5">
        <v>19.4</v>
      </c>
    </row>
    <row r="54" ht="15.75" customHeight="1">
      <c r="A54" s="3">
        <v>53.0</v>
      </c>
      <c r="B54" s="4">
        <v>45806.74305555555</v>
      </c>
      <c r="C54" s="3" t="s">
        <v>9</v>
      </c>
      <c r="D54" s="5">
        <v>21.1</v>
      </c>
      <c r="E54" s="5">
        <v>21.5</v>
      </c>
      <c r="F54" s="6">
        <v>54.0</v>
      </c>
      <c r="G54" s="6">
        <v>1019.0</v>
      </c>
      <c r="H54" s="3" t="s">
        <v>10</v>
      </c>
      <c r="I54" s="5">
        <v>25.0</v>
      </c>
    </row>
    <row r="55" ht="15.75" customHeight="1">
      <c r="A55" s="3">
        <v>54.0</v>
      </c>
      <c r="B55" s="4">
        <v>45808.78472222222</v>
      </c>
      <c r="C55" s="3" t="s">
        <v>9</v>
      </c>
      <c r="D55" s="5">
        <v>22.0</v>
      </c>
      <c r="E55" s="5">
        <v>22.8</v>
      </c>
      <c r="F55" s="6">
        <v>65.0</v>
      </c>
      <c r="G55" s="6">
        <v>1018.0</v>
      </c>
      <c r="H55" s="3" t="s">
        <v>12</v>
      </c>
      <c r="I55" s="5">
        <v>14.4</v>
      </c>
    </row>
    <row r="56" ht="15.75" customHeight="1">
      <c r="A56" s="3">
        <v>55.0</v>
      </c>
      <c r="B56" s="4">
        <v>45809.66666666666</v>
      </c>
      <c r="C56" s="3" t="s">
        <v>9</v>
      </c>
      <c r="D56" s="5">
        <v>22.0</v>
      </c>
      <c r="E56" s="5">
        <v>22.2</v>
      </c>
      <c r="F56" s="6">
        <v>65.0</v>
      </c>
      <c r="G56" s="6">
        <v>1023.0</v>
      </c>
      <c r="H56" s="3" t="s">
        <v>10</v>
      </c>
      <c r="I56" s="5">
        <v>15.4</v>
      </c>
    </row>
    <row r="57" ht="15.75" customHeight="1">
      <c r="A57" s="3">
        <v>56.0</v>
      </c>
      <c r="B57" s="4">
        <v>45810.38888888889</v>
      </c>
      <c r="C57" s="3" t="s">
        <v>9</v>
      </c>
      <c r="D57" s="5">
        <v>17.7</v>
      </c>
      <c r="E57" s="5">
        <v>18.6</v>
      </c>
      <c r="F57" s="6">
        <v>55.0</v>
      </c>
      <c r="G57" s="6">
        <v>1016.0</v>
      </c>
      <c r="H57" s="3" t="s">
        <v>10</v>
      </c>
      <c r="I57" s="5">
        <v>14.6</v>
      </c>
    </row>
    <row r="58" ht="15.75" customHeight="1">
      <c r="A58" s="3">
        <v>57.0</v>
      </c>
      <c r="B58" s="4">
        <v>45811.48611111111</v>
      </c>
      <c r="C58" s="3" t="s">
        <v>9</v>
      </c>
      <c r="D58" s="5">
        <v>18.9</v>
      </c>
      <c r="E58" s="5">
        <v>18.0</v>
      </c>
      <c r="F58" s="6">
        <v>58.0</v>
      </c>
      <c r="G58" s="6">
        <v>1020.0</v>
      </c>
      <c r="H58" s="3" t="s">
        <v>10</v>
      </c>
      <c r="I58" s="5">
        <v>19.8</v>
      </c>
    </row>
    <row r="59" ht="15.75" customHeight="1">
      <c r="A59" s="3">
        <v>58.0</v>
      </c>
      <c r="B59" s="4">
        <v>45812.58333333334</v>
      </c>
      <c r="C59" s="3" t="s">
        <v>9</v>
      </c>
      <c r="D59" s="5">
        <v>21.9</v>
      </c>
      <c r="E59" s="5">
        <v>22.5</v>
      </c>
      <c r="F59" s="6">
        <v>75.0</v>
      </c>
      <c r="G59" s="6">
        <v>1010.0</v>
      </c>
      <c r="H59" s="3" t="s">
        <v>17</v>
      </c>
      <c r="I59" s="5">
        <v>15.6</v>
      </c>
    </row>
    <row r="60" ht="15.75" customHeight="1">
      <c r="A60" s="3">
        <v>59.0</v>
      </c>
      <c r="B60" s="4">
        <v>45813.40277777778</v>
      </c>
      <c r="C60" s="3" t="s">
        <v>9</v>
      </c>
      <c r="D60" s="5">
        <v>15.3</v>
      </c>
      <c r="E60" s="5">
        <v>16.2</v>
      </c>
      <c r="F60" s="6">
        <v>70.0</v>
      </c>
      <c r="G60" s="6">
        <v>1019.0</v>
      </c>
      <c r="H60" s="3" t="s">
        <v>10</v>
      </c>
      <c r="I60" s="5">
        <v>16.4</v>
      </c>
    </row>
    <row r="61" ht="15.75" customHeight="1">
      <c r="A61" s="3">
        <v>60.0</v>
      </c>
      <c r="B61" s="4">
        <v>45814.80555555555</v>
      </c>
      <c r="C61" s="3" t="s">
        <v>9</v>
      </c>
      <c r="D61" s="5">
        <v>20.6</v>
      </c>
      <c r="E61" s="5">
        <v>20.5</v>
      </c>
      <c r="F61" s="6">
        <v>65.0</v>
      </c>
      <c r="G61" s="6">
        <v>1017.0</v>
      </c>
      <c r="H61" s="3" t="s">
        <v>10</v>
      </c>
      <c r="I61" s="5">
        <v>16.0</v>
      </c>
    </row>
    <row r="62" ht="15.75" customHeight="1">
      <c r="A62" s="3">
        <v>61.0</v>
      </c>
      <c r="B62" s="4">
        <v>45815.6875</v>
      </c>
      <c r="C62" s="3" t="s">
        <v>9</v>
      </c>
      <c r="D62" s="5">
        <v>21.0</v>
      </c>
      <c r="E62" s="5">
        <v>19.9</v>
      </c>
      <c r="F62" s="6">
        <v>67.0</v>
      </c>
      <c r="G62" s="6">
        <v>1007.0</v>
      </c>
      <c r="H62" s="3" t="s">
        <v>13</v>
      </c>
      <c r="I62" s="5">
        <v>22.5</v>
      </c>
    </row>
    <row r="63" ht="15.75" customHeight="1">
      <c r="A63" s="3">
        <v>62.0</v>
      </c>
      <c r="B63" s="4">
        <v>45816.39583333334</v>
      </c>
      <c r="C63" s="3" t="s">
        <v>9</v>
      </c>
      <c r="D63" s="5">
        <v>16.7</v>
      </c>
      <c r="E63" s="5">
        <v>17.6</v>
      </c>
      <c r="F63" s="6">
        <v>75.0</v>
      </c>
      <c r="G63" s="6">
        <v>1012.0</v>
      </c>
      <c r="H63" s="3" t="s">
        <v>14</v>
      </c>
      <c r="I63" s="5">
        <v>14.7</v>
      </c>
    </row>
    <row r="64" ht="15.75" customHeight="1">
      <c r="A64" s="3">
        <v>63.0</v>
      </c>
      <c r="B64" s="4">
        <v>45817.51388888889</v>
      </c>
      <c r="C64" s="3" t="s">
        <v>9</v>
      </c>
      <c r="D64" s="5">
        <v>17.5</v>
      </c>
      <c r="E64" s="5">
        <v>16.3</v>
      </c>
      <c r="F64" s="6">
        <v>62.0</v>
      </c>
      <c r="G64" s="6">
        <v>1019.0</v>
      </c>
      <c r="H64" s="3" t="s">
        <v>14</v>
      </c>
      <c r="I64" s="5">
        <v>19.7</v>
      </c>
    </row>
    <row r="65" ht="15.75" customHeight="1">
      <c r="A65" s="3">
        <v>64.0</v>
      </c>
      <c r="B65" s="4">
        <v>45818.32638888889</v>
      </c>
      <c r="C65" s="3" t="s">
        <v>9</v>
      </c>
      <c r="D65" s="5">
        <v>16.9</v>
      </c>
      <c r="E65" s="5">
        <v>17.5</v>
      </c>
      <c r="F65" s="6">
        <v>80.0</v>
      </c>
      <c r="G65" s="6">
        <v>1021.0</v>
      </c>
      <c r="H65" s="3" t="s">
        <v>14</v>
      </c>
      <c r="I65" s="5">
        <v>23.6</v>
      </c>
    </row>
    <row r="66" ht="15.75" customHeight="1">
      <c r="A66" s="3">
        <v>65.0</v>
      </c>
      <c r="B66" s="4">
        <v>45819.79166666666</v>
      </c>
      <c r="C66" s="3" t="s">
        <v>9</v>
      </c>
      <c r="D66" s="5">
        <v>21.5</v>
      </c>
      <c r="E66" s="5">
        <v>21.9</v>
      </c>
      <c r="F66" s="6">
        <v>60.0</v>
      </c>
      <c r="G66" s="6">
        <v>1016.0</v>
      </c>
      <c r="H66" s="3" t="s">
        <v>10</v>
      </c>
      <c r="I66" s="5">
        <v>15.7</v>
      </c>
    </row>
    <row r="67" ht="15.75" customHeight="1">
      <c r="A67" s="3">
        <v>66.0</v>
      </c>
      <c r="B67" s="4">
        <v>45821.51388888889</v>
      </c>
      <c r="C67" s="3" t="s">
        <v>9</v>
      </c>
      <c r="D67" s="5">
        <v>19.2</v>
      </c>
      <c r="E67" s="5">
        <v>19.4</v>
      </c>
      <c r="F67" s="6">
        <v>68.0</v>
      </c>
      <c r="G67" s="6">
        <v>1013.0</v>
      </c>
      <c r="H67" s="3" t="s">
        <v>10</v>
      </c>
      <c r="I67" s="5">
        <v>13.4</v>
      </c>
    </row>
    <row r="68" ht="15.75" customHeight="1">
      <c r="A68" s="3">
        <v>67.0</v>
      </c>
      <c r="B68" s="4">
        <v>45822.79166666666</v>
      </c>
      <c r="C68" s="3" t="s">
        <v>9</v>
      </c>
      <c r="D68" s="5">
        <v>25.1</v>
      </c>
      <c r="E68" s="5">
        <v>24.8</v>
      </c>
      <c r="F68" s="6">
        <v>76.0</v>
      </c>
      <c r="G68" s="6">
        <v>1015.0</v>
      </c>
      <c r="H68" s="3" t="s">
        <v>11</v>
      </c>
      <c r="I68" s="5">
        <v>20.6</v>
      </c>
    </row>
    <row r="69" ht="15.75" customHeight="1">
      <c r="A69" s="3">
        <v>68.0</v>
      </c>
      <c r="B69" s="4">
        <v>45823.69444444445</v>
      </c>
      <c r="C69" s="3" t="s">
        <v>9</v>
      </c>
      <c r="D69" s="5">
        <v>21.2</v>
      </c>
      <c r="E69" s="5">
        <v>21.9</v>
      </c>
      <c r="F69" s="6">
        <v>62.0</v>
      </c>
      <c r="G69" s="6">
        <v>1008.0</v>
      </c>
      <c r="H69" s="3" t="s">
        <v>18</v>
      </c>
      <c r="I69" s="5">
        <v>21.8</v>
      </c>
    </row>
    <row r="70" ht="15.75" customHeight="1">
      <c r="A70" s="3">
        <v>69.0</v>
      </c>
      <c r="B70" s="4">
        <v>45824.70138888889</v>
      </c>
      <c r="C70" s="3" t="s">
        <v>9</v>
      </c>
      <c r="D70" s="5">
        <v>19.7</v>
      </c>
      <c r="E70" s="5">
        <v>19.0</v>
      </c>
      <c r="F70" s="6">
        <v>64.0</v>
      </c>
      <c r="G70" s="6">
        <v>1013.0</v>
      </c>
      <c r="H70" s="3" t="s">
        <v>18</v>
      </c>
      <c r="I70" s="5">
        <v>23.2</v>
      </c>
    </row>
    <row r="71" ht="15.75" customHeight="1">
      <c r="A71" s="3">
        <v>70.0</v>
      </c>
      <c r="B71" s="4">
        <v>45825.40972222222</v>
      </c>
      <c r="C71" s="3" t="s">
        <v>9</v>
      </c>
      <c r="D71" s="5">
        <v>18.2</v>
      </c>
      <c r="E71" s="5">
        <v>19.3</v>
      </c>
      <c r="F71" s="6">
        <v>52.0</v>
      </c>
      <c r="G71" s="6">
        <v>1019.0</v>
      </c>
      <c r="H71" s="3" t="s">
        <v>10</v>
      </c>
      <c r="I71" s="5">
        <v>18.1</v>
      </c>
    </row>
    <row r="72" ht="15.75" customHeight="1">
      <c r="A72" s="3">
        <v>71.0</v>
      </c>
      <c r="B72" s="4">
        <v>45827.65277777778</v>
      </c>
      <c r="C72" s="3" t="s">
        <v>9</v>
      </c>
      <c r="D72" s="5">
        <v>22.8</v>
      </c>
      <c r="E72" s="5">
        <v>21.7</v>
      </c>
      <c r="F72" s="6">
        <v>62.0</v>
      </c>
      <c r="G72" s="6">
        <v>1014.0</v>
      </c>
      <c r="H72" s="3" t="s">
        <v>10</v>
      </c>
      <c r="I72" s="5">
        <v>19.5</v>
      </c>
    </row>
    <row r="73" ht="15.75" customHeight="1">
      <c r="A73" s="3">
        <v>72.0</v>
      </c>
      <c r="B73" s="4">
        <v>45829.65972222222</v>
      </c>
      <c r="C73" s="3" t="s">
        <v>9</v>
      </c>
      <c r="D73" s="5">
        <v>21.7</v>
      </c>
      <c r="E73" s="5">
        <v>22.9</v>
      </c>
      <c r="F73" s="6">
        <v>49.0</v>
      </c>
      <c r="G73" s="6">
        <v>1020.0</v>
      </c>
      <c r="H73" s="3" t="s">
        <v>10</v>
      </c>
      <c r="I73" s="5">
        <v>18.2</v>
      </c>
    </row>
    <row r="74" ht="15.75" customHeight="1">
      <c r="A74" s="3">
        <v>73.0</v>
      </c>
      <c r="B74" s="4">
        <v>45830.80555555555</v>
      </c>
      <c r="C74" s="3" t="s">
        <v>9</v>
      </c>
      <c r="D74" s="5">
        <v>24.8</v>
      </c>
      <c r="E74" s="5">
        <v>24.5</v>
      </c>
      <c r="F74" s="6">
        <v>57.0</v>
      </c>
      <c r="G74" s="6">
        <v>1010.0</v>
      </c>
      <c r="H74" s="3" t="s">
        <v>14</v>
      </c>
      <c r="I74" s="5">
        <v>15.6</v>
      </c>
    </row>
    <row r="75" ht="15.75" customHeight="1">
      <c r="A75" s="3">
        <v>74.0</v>
      </c>
      <c r="B75" s="4">
        <v>45831.78472222222</v>
      </c>
      <c r="C75" s="3" t="s">
        <v>9</v>
      </c>
      <c r="D75" s="5">
        <v>26.2</v>
      </c>
      <c r="E75" s="5">
        <v>26.0</v>
      </c>
      <c r="F75" s="6">
        <v>45.0</v>
      </c>
      <c r="G75" s="6">
        <v>1024.0</v>
      </c>
      <c r="H75" s="3" t="s">
        <v>10</v>
      </c>
      <c r="I75" s="5">
        <v>22.3</v>
      </c>
    </row>
    <row r="76" ht="15.75" customHeight="1">
      <c r="A76" s="3">
        <v>75.0</v>
      </c>
      <c r="B76" s="4">
        <v>45832.65277777778</v>
      </c>
      <c r="C76" s="3" t="s">
        <v>9</v>
      </c>
      <c r="D76" s="5">
        <v>22.4</v>
      </c>
      <c r="E76" s="5">
        <v>22.9</v>
      </c>
      <c r="F76" s="6">
        <v>39.0</v>
      </c>
      <c r="G76" s="6">
        <v>1014.0</v>
      </c>
      <c r="H76" s="3" t="s">
        <v>10</v>
      </c>
      <c r="I76" s="5">
        <v>20.9</v>
      </c>
    </row>
    <row r="77" ht="15.75" customHeight="1">
      <c r="A77" s="3">
        <v>76.0</v>
      </c>
      <c r="B77" s="4">
        <v>45833.42361111111</v>
      </c>
      <c r="C77" s="3" t="s">
        <v>9</v>
      </c>
      <c r="D77" s="5">
        <v>19.6</v>
      </c>
      <c r="E77" s="5">
        <v>19.8</v>
      </c>
      <c r="F77" s="6">
        <v>78.0</v>
      </c>
      <c r="G77" s="6">
        <v>1016.0</v>
      </c>
      <c r="H77" s="3" t="s">
        <v>10</v>
      </c>
      <c r="I77" s="5">
        <v>13.9</v>
      </c>
    </row>
    <row r="78" ht="15.75" customHeight="1">
      <c r="A78" s="3">
        <v>77.0</v>
      </c>
      <c r="B78" s="4">
        <v>45834.82638888889</v>
      </c>
      <c r="C78" s="3" t="s">
        <v>9</v>
      </c>
      <c r="D78" s="5">
        <v>24.5</v>
      </c>
      <c r="E78" s="5">
        <v>25.2</v>
      </c>
      <c r="F78" s="6">
        <v>65.0</v>
      </c>
      <c r="G78" s="6">
        <v>1015.0</v>
      </c>
      <c r="H78" s="3" t="s">
        <v>16</v>
      </c>
      <c r="I78" s="5">
        <v>14.5</v>
      </c>
    </row>
    <row r="79" ht="15.75" customHeight="1">
      <c r="A79" s="3">
        <v>78.0</v>
      </c>
      <c r="B79" s="4">
        <v>45835.78472222222</v>
      </c>
      <c r="C79" s="3" t="s">
        <v>9</v>
      </c>
      <c r="D79" s="5">
        <v>21.2</v>
      </c>
      <c r="E79" s="5">
        <v>21.8</v>
      </c>
      <c r="F79" s="6">
        <v>92.0</v>
      </c>
      <c r="G79" s="6">
        <v>1009.0</v>
      </c>
      <c r="H79" s="3" t="s">
        <v>18</v>
      </c>
      <c r="I79" s="5">
        <v>26.1</v>
      </c>
    </row>
    <row r="80" ht="15.75" customHeight="1">
      <c r="A80" s="3">
        <v>79.0</v>
      </c>
      <c r="B80" s="4">
        <v>45836.48611111111</v>
      </c>
      <c r="C80" s="3" t="s">
        <v>9</v>
      </c>
      <c r="D80" s="5">
        <v>18.6</v>
      </c>
      <c r="E80" s="5">
        <v>18.5</v>
      </c>
      <c r="F80" s="6">
        <v>63.0</v>
      </c>
      <c r="G80" s="6">
        <v>1002.0</v>
      </c>
      <c r="H80" s="3" t="s">
        <v>11</v>
      </c>
      <c r="I80" s="5">
        <v>21.2</v>
      </c>
    </row>
    <row r="81" ht="15.75" customHeight="1">
      <c r="A81" s="3">
        <v>80.0</v>
      </c>
      <c r="B81" s="4">
        <v>45837.64583333334</v>
      </c>
      <c r="C81" s="3" t="s">
        <v>9</v>
      </c>
      <c r="D81" s="5">
        <v>21.4</v>
      </c>
      <c r="E81" s="5">
        <v>20.5</v>
      </c>
      <c r="F81" s="6">
        <v>59.0</v>
      </c>
      <c r="G81" s="6">
        <v>1014.0</v>
      </c>
      <c r="H81" s="3" t="s">
        <v>10</v>
      </c>
      <c r="I81" s="5">
        <v>16.4</v>
      </c>
    </row>
    <row r="82" ht="15.75" customHeight="1">
      <c r="A82" s="3">
        <v>81.0</v>
      </c>
      <c r="B82" s="4">
        <v>45838.26388888889</v>
      </c>
      <c r="C82" s="3" t="s">
        <v>9</v>
      </c>
      <c r="D82" s="5">
        <v>19.8</v>
      </c>
      <c r="E82" s="5">
        <v>20.4</v>
      </c>
      <c r="F82" s="6">
        <v>79.0</v>
      </c>
      <c r="G82" s="6">
        <v>1005.0</v>
      </c>
      <c r="H82" s="3" t="s">
        <v>13</v>
      </c>
      <c r="I82" s="5">
        <v>18.2</v>
      </c>
    </row>
    <row r="83" ht="15.75" customHeight="1">
      <c r="A83" s="3">
        <v>82.0</v>
      </c>
      <c r="B83" s="4">
        <v>45839.63194444445</v>
      </c>
      <c r="C83" s="3" t="s">
        <v>9</v>
      </c>
      <c r="D83" s="5">
        <v>19.4</v>
      </c>
      <c r="E83" s="5">
        <v>18.9</v>
      </c>
      <c r="F83" s="6">
        <v>52.0</v>
      </c>
      <c r="G83" s="6">
        <v>1015.0</v>
      </c>
      <c r="H83" s="3" t="s">
        <v>14</v>
      </c>
      <c r="I83" s="5">
        <v>15.4</v>
      </c>
    </row>
    <row r="84" ht="15.75" customHeight="1">
      <c r="A84" s="3">
        <v>83.0</v>
      </c>
      <c r="B84" s="4">
        <v>45840.81944444445</v>
      </c>
      <c r="C84" s="3" t="s">
        <v>9</v>
      </c>
      <c r="D84" s="5">
        <v>25.0</v>
      </c>
      <c r="E84" s="5">
        <v>26.0</v>
      </c>
      <c r="F84" s="6">
        <v>59.0</v>
      </c>
      <c r="G84" s="6">
        <v>1014.0</v>
      </c>
      <c r="H84" s="3" t="s">
        <v>12</v>
      </c>
      <c r="I84" s="5">
        <v>12.4</v>
      </c>
    </row>
    <row r="85" ht="15.75" customHeight="1">
      <c r="A85" s="3">
        <v>84.0</v>
      </c>
      <c r="B85" s="4">
        <v>45841.6875</v>
      </c>
      <c r="C85" s="3" t="s">
        <v>9</v>
      </c>
      <c r="D85" s="5">
        <v>22.2</v>
      </c>
      <c r="E85" s="5">
        <v>22.2</v>
      </c>
      <c r="F85" s="6">
        <v>54.0</v>
      </c>
      <c r="G85" s="6">
        <v>1013.0</v>
      </c>
      <c r="H85" s="3" t="s">
        <v>12</v>
      </c>
      <c r="I85" s="5">
        <v>12.5</v>
      </c>
    </row>
    <row r="86" ht="15.75" customHeight="1">
      <c r="A86" s="3">
        <v>85.0</v>
      </c>
      <c r="B86" s="4">
        <v>45842.85416666666</v>
      </c>
      <c r="C86" s="3" t="s">
        <v>9</v>
      </c>
      <c r="D86" s="5">
        <v>22.2</v>
      </c>
      <c r="E86" s="5">
        <v>21.1</v>
      </c>
      <c r="F86" s="6">
        <v>87.0</v>
      </c>
      <c r="G86" s="6">
        <v>1012.0</v>
      </c>
      <c r="H86" s="3" t="s">
        <v>13</v>
      </c>
      <c r="I86" s="5">
        <v>21.5</v>
      </c>
    </row>
    <row r="87" ht="15.75" customHeight="1">
      <c r="A87" s="3">
        <v>86.0</v>
      </c>
      <c r="B87" s="4">
        <v>45843.52777777778</v>
      </c>
      <c r="C87" s="3" t="s">
        <v>9</v>
      </c>
      <c r="D87" s="5">
        <v>22.1</v>
      </c>
      <c r="E87" s="5">
        <v>22.2</v>
      </c>
      <c r="F87" s="6">
        <v>84.0</v>
      </c>
      <c r="G87" s="6">
        <v>1005.0</v>
      </c>
      <c r="H87" s="3" t="s">
        <v>11</v>
      </c>
      <c r="I87" s="5">
        <v>35.3</v>
      </c>
    </row>
    <row r="88" ht="15.75" customHeight="1">
      <c r="A88" s="3">
        <v>87.0</v>
      </c>
      <c r="B88" s="4">
        <v>45844.90972222222</v>
      </c>
      <c r="C88" s="3" t="s">
        <v>9</v>
      </c>
      <c r="D88" s="5">
        <v>23.7</v>
      </c>
      <c r="E88" s="5">
        <v>24.0</v>
      </c>
      <c r="F88" s="6">
        <v>66.0</v>
      </c>
      <c r="G88" s="6">
        <v>1021.0</v>
      </c>
      <c r="H88" s="3" t="s">
        <v>12</v>
      </c>
      <c r="I88" s="5">
        <v>24.8</v>
      </c>
    </row>
    <row r="89" ht="15.75" customHeight="1">
      <c r="A89" s="3">
        <v>88.0</v>
      </c>
      <c r="B89" s="4">
        <v>45845.49305555555</v>
      </c>
      <c r="C89" s="3" t="s">
        <v>9</v>
      </c>
      <c r="D89" s="5">
        <v>19.0</v>
      </c>
      <c r="E89" s="5">
        <v>19.4</v>
      </c>
      <c r="F89" s="6">
        <v>57.0</v>
      </c>
      <c r="G89" s="6">
        <v>1015.0</v>
      </c>
      <c r="H89" s="3" t="s">
        <v>16</v>
      </c>
      <c r="I89" s="5">
        <v>12.9</v>
      </c>
    </row>
    <row r="90" ht="15.75" customHeight="1">
      <c r="A90" s="3">
        <v>89.0</v>
      </c>
      <c r="B90" s="4">
        <v>45846.34722222222</v>
      </c>
      <c r="C90" s="3" t="s">
        <v>9</v>
      </c>
      <c r="D90" s="5">
        <v>21.0</v>
      </c>
      <c r="E90" s="5">
        <v>20.4</v>
      </c>
      <c r="F90" s="6">
        <v>64.0</v>
      </c>
      <c r="G90" s="6">
        <v>1014.0</v>
      </c>
      <c r="H90" s="3" t="s">
        <v>10</v>
      </c>
      <c r="I90" s="5">
        <v>12.2</v>
      </c>
    </row>
    <row r="91" ht="15.75" customHeight="1">
      <c r="A91" s="3">
        <v>90.0</v>
      </c>
      <c r="B91" s="4">
        <v>45847.66666666666</v>
      </c>
      <c r="C91" s="3" t="s">
        <v>9</v>
      </c>
      <c r="D91" s="5">
        <v>23.7</v>
      </c>
      <c r="E91" s="5">
        <v>24.1</v>
      </c>
      <c r="F91" s="6">
        <v>45.0</v>
      </c>
      <c r="G91" s="6">
        <v>1008.0</v>
      </c>
      <c r="H91" s="3" t="s">
        <v>10</v>
      </c>
      <c r="I91" s="5">
        <v>18.0</v>
      </c>
    </row>
    <row r="92" ht="15.75" customHeight="1">
      <c r="A92" s="3">
        <v>91.0</v>
      </c>
      <c r="B92" s="4">
        <v>45848.57638888889</v>
      </c>
      <c r="C92" s="3" t="s">
        <v>9</v>
      </c>
      <c r="D92" s="5">
        <v>24.1</v>
      </c>
      <c r="E92" s="5">
        <v>23.3</v>
      </c>
      <c r="F92" s="6">
        <v>54.0</v>
      </c>
      <c r="G92" s="6">
        <v>1007.0</v>
      </c>
      <c r="H92" s="3" t="s">
        <v>10</v>
      </c>
      <c r="I92" s="5">
        <v>17.6</v>
      </c>
    </row>
    <row r="93" ht="15.75" customHeight="1">
      <c r="A93" s="3">
        <v>92.0</v>
      </c>
      <c r="B93" s="4">
        <v>45849.63194444445</v>
      </c>
      <c r="C93" s="3" t="s">
        <v>9</v>
      </c>
      <c r="D93" s="5">
        <v>22.9</v>
      </c>
      <c r="E93" s="5">
        <v>23.4</v>
      </c>
      <c r="F93" s="6">
        <v>76.0</v>
      </c>
      <c r="G93" s="6">
        <v>1009.0</v>
      </c>
      <c r="H93" s="3" t="s">
        <v>16</v>
      </c>
      <c r="I93" s="5">
        <v>15.2</v>
      </c>
    </row>
    <row r="94" ht="15.75" customHeight="1">
      <c r="A94" s="3">
        <v>93.0</v>
      </c>
      <c r="B94" s="4">
        <v>45850.50694444445</v>
      </c>
      <c r="C94" s="3" t="s">
        <v>9</v>
      </c>
      <c r="D94" s="5">
        <v>20.0</v>
      </c>
      <c r="E94" s="5">
        <v>19.0</v>
      </c>
      <c r="F94" s="6">
        <v>53.0</v>
      </c>
      <c r="G94" s="6">
        <v>1004.0</v>
      </c>
      <c r="H94" s="3" t="s">
        <v>11</v>
      </c>
      <c r="I94" s="5">
        <v>18.9</v>
      </c>
    </row>
    <row r="95" ht="15.75" customHeight="1">
      <c r="A95" s="3">
        <v>94.0</v>
      </c>
      <c r="B95" s="4">
        <v>45851.25</v>
      </c>
      <c r="C95" s="3" t="s">
        <v>9</v>
      </c>
      <c r="D95" s="5">
        <v>24.2</v>
      </c>
      <c r="E95" s="5">
        <v>23.1</v>
      </c>
      <c r="F95" s="6">
        <v>55.0</v>
      </c>
      <c r="G95" s="6">
        <v>1004.0</v>
      </c>
      <c r="H95" s="3" t="s">
        <v>10</v>
      </c>
      <c r="I95" s="5">
        <v>25.0</v>
      </c>
    </row>
    <row r="96" ht="15.75" customHeight="1">
      <c r="A96" s="3">
        <v>95.0</v>
      </c>
      <c r="B96" s="4">
        <v>45852.5625</v>
      </c>
      <c r="C96" s="3" t="s">
        <v>9</v>
      </c>
      <c r="D96" s="5">
        <v>22.4</v>
      </c>
      <c r="E96" s="5">
        <v>22.1</v>
      </c>
      <c r="F96" s="6">
        <v>63.0</v>
      </c>
      <c r="G96" s="6">
        <v>1005.0</v>
      </c>
      <c r="H96" s="3" t="s">
        <v>15</v>
      </c>
      <c r="I96" s="5">
        <v>24.0</v>
      </c>
    </row>
    <row r="97" ht="15.75" customHeight="1">
      <c r="A97" s="3">
        <v>96.0</v>
      </c>
      <c r="B97" s="4">
        <v>45853.35416666666</v>
      </c>
      <c r="C97" s="3" t="s">
        <v>9</v>
      </c>
      <c r="D97" s="5">
        <v>19.6</v>
      </c>
      <c r="E97" s="5">
        <v>20.3</v>
      </c>
      <c r="F97" s="6">
        <v>71.0</v>
      </c>
      <c r="G97" s="6">
        <v>1017.0</v>
      </c>
      <c r="H97" s="3" t="s">
        <v>10</v>
      </c>
      <c r="I97" s="5">
        <v>15.0</v>
      </c>
    </row>
    <row r="98" ht="15.75" customHeight="1">
      <c r="A98" s="3">
        <v>97.0</v>
      </c>
      <c r="B98" s="4">
        <v>45854.82638888889</v>
      </c>
      <c r="C98" s="3" t="s">
        <v>9</v>
      </c>
      <c r="D98" s="5">
        <v>24.2</v>
      </c>
      <c r="E98" s="5">
        <v>25.4</v>
      </c>
      <c r="F98" s="6">
        <v>54.0</v>
      </c>
      <c r="G98" s="6">
        <v>1012.0</v>
      </c>
      <c r="H98" s="3" t="s">
        <v>10</v>
      </c>
      <c r="I98" s="5">
        <v>16.5</v>
      </c>
    </row>
    <row r="99" ht="15.75" customHeight="1">
      <c r="A99" s="3">
        <v>98.0</v>
      </c>
      <c r="B99" s="4">
        <v>45855.53472222222</v>
      </c>
      <c r="C99" s="3" t="s">
        <v>9</v>
      </c>
      <c r="D99" s="5">
        <v>21.1</v>
      </c>
      <c r="E99" s="5">
        <v>21.7</v>
      </c>
      <c r="F99" s="6">
        <v>56.0</v>
      </c>
      <c r="G99" s="6">
        <v>1010.0</v>
      </c>
      <c r="H99" s="3" t="s">
        <v>12</v>
      </c>
      <c r="I99" s="5">
        <v>14.8</v>
      </c>
    </row>
    <row r="100" ht="15.75" customHeight="1">
      <c r="A100" s="3">
        <v>99.0</v>
      </c>
      <c r="B100" s="4">
        <v>45856.77083333334</v>
      </c>
      <c r="C100" s="3" t="s">
        <v>9</v>
      </c>
      <c r="D100" s="5">
        <v>23.8</v>
      </c>
      <c r="E100" s="5">
        <v>22.9</v>
      </c>
      <c r="F100" s="6">
        <v>47.0</v>
      </c>
      <c r="G100" s="6">
        <v>1016.0</v>
      </c>
      <c r="H100" s="3" t="s">
        <v>10</v>
      </c>
      <c r="I100" s="5">
        <v>17.4</v>
      </c>
    </row>
    <row r="101" ht="15.75" customHeight="1">
      <c r="A101" s="3">
        <v>100.0</v>
      </c>
      <c r="B101" s="4">
        <v>45857.75694444445</v>
      </c>
      <c r="C101" s="3" t="s">
        <v>9</v>
      </c>
      <c r="D101" s="5">
        <v>28.2</v>
      </c>
      <c r="E101" s="5">
        <v>29.4</v>
      </c>
      <c r="F101" s="6">
        <v>55.0</v>
      </c>
      <c r="G101" s="6">
        <v>1013.0</v>
      </c>
      <c r="H101" s="3" t="s">
        <v>10</v>
      </c>
      <c r="I101" s="5">
        <v>14.8</v>
      </c>
    </row>
    <row r="102" ht="15.75" customHeight="1">
      <c r="A102" s="3">
        <v>101.0</v>
      </c>
      <c r="B102" s="4">
        <v>45858.45138888889</v>
      </c>
      <c r="C102" s="3" t="s">
        <v>9</v>
      </c>
      <c r="D102" s="5">
        <v>23.1</v>
      </c>
      <c r="E102" s="5">
        <v>22.5</v>
      </c>
      <c r="F102" s="6">
        <v>54.0</v>
      </c>
      <c r="G102" s="6">
        <v>1019.0</v>
      </c>
      <c r="H102" s="3" t="s">
        <v>10</v>
      </c>
      <c r="I102" s="5">
        <v>18.0</v>
      </c>
    </row>
    <row r="103" ht="15.75" customHeight="1">
      <c r="A103" s="3">
        <v>102.0</v>
      </c>
      <c r="B103" s="4">
        <v>45860.25</v>
      </c>
      <c r="C103" s="3" t="s">
        <v>9</v>
      </c>
      <c r="D103" s="5">
        <v>24.0</v>
      </c>
      <c r="E103" s="5">
        <v>25.0</v>
      </c>
      <c r="F103" s="6">
        <v>45.0</v>
      </c>
      <c r="G103" s="6">
        <v>1012.0</v>
      </c>
      <c r="H103" s="3" t="s">
        <v>14</v>
      </c>
      <c r="I103" s="5">
        <v>18.0</v>
      </c>
    </row>
    <row r="104" ht="15.75" customHeight="1">
      <c r="A104" s="3">
        <v>103.0</v>
      </c>
      <c r="B104" s="4">
        <v>45861.79861111111</v>
      </c>
      <c r="C104" s="3" t="s">
        <v>9</v>
      </c>
      <c r="D104" s="5">
        <v>22.9</v>
      </c>
      <c r="E104" s="5">
        <v>22.9</v>
      </c>
      <c r="F104" s="6">
        <v>56.0</v>
      </c>
      <c r="G104" s="6">
        <v>1017.0</v>
      </c>
      <c r="H104" s="3" t="s">
        <v>10</v>
      </c>
      <c r="I104" s="5">
        <v>14.5</v>
      </c>
    </row>
    <row r="105" ht="15.75" customHeight="1">
      <c r="A105" s="3">
        <v>104.0</v>
      </c>
      <c r="B105" s="4">
        <v>45862.49305555555</v>
      </c>
      <c r="C105" s="3" t="s">
        <v>9</v>
      </c>
      <c r="D105" s="5">
        <v>22.6</v>
      </c>
      <c r="E105" s="5">
        <v>22.7</v>
      </c>
      <c r="F105" s="6">
        <v>53.0</v>
      </c>
      <c r="G105" s="6">
        <v>1011.0</v>
      </c>
      <c r="H105" s="3" t="s">
        <v>10</v>
      </c>
      <c r="I105" s="5">
        <v>18.9</v>
      </c>
    </row>
    <row r="106" ht="15.75" customHeight="1">
      <c r="A106" s="3">
        <v>105.0</v>
      </c>
      <c r="B106" s="4">
        <v>45863.83333333334</v>
      </c>
      <c r="C106" s="3" t="s">
        <v>9</v>
      </c>
      <c r="D106" s="5">
        <v>25.3</v>
      </c>
      <c r="E106" s="5">
        <v>24.6</v>
      </c>
      <c r="F106" s="6">
        <v>70.0</v>
      </c>
      <c r="G106" s="6">
        <v>1007.0</v>
      </c>
      <c r="H106" s="3" t="s">
        <v>16</v>
      </c>
      <c r="I106" s="5">
        <v>16.4</v>
      </c>
    </row>
    <row r="107" ht="15.75" customHeight="1">
      <c r="A107" s="3">
        <v>106.0</v>
      </c>
      <c r="B107" s="4">
        <v>45864.54166666666</v>
      </c>
      <c r="C107" s="3" t="s">
        <v>9</v>
      </c>
      <c r="D107" s="5">
        <v>21.7</v>
      </c>
      <c r="E107" s="5">
        <v>22.1</v>
      </c>
      <c r="F107" s="6">
        <v>64.0</v>
      </c>
      <c r="G107" s="6">
        <v>1008.0</v>
      </c>
      <c r="H107" s="3" t="s">
        <v>11</v>
      </c>
      <c r="I107" s="5">
        <v>26.9</v>
      </c>
    </row>
    <row r="108" ht="15.75" customHeight="1">
      <c r="A108" s="3">
        <v>107.0</v>
      </c>
      <c r="B108" s="4">
        <v>45865.84027777778</v>
      </c>
      <c r="C108" s="3" t="s">
        <v>9</v>
      </c>
      <c r="D108" s="5">
        <v>28.7</v>
      </c>
      <c r="E108" s="5">
        <v>28.9</v>
      </c>
      <c r="F108" s="6">
        <v>41.0</v>
      </c>
      <c r="G108" s="6">
        <v>1011.0</v>
      </c>
      <c r="H108" s="3" t="s">
        <v>14</v>
      </c>
      <c r="I108" s="5">
        <v>12.7</v>
      </c>
    </row>
    <row r="109" ht="15.75" customHeight="1">
      <c r="A109" s="3">
        <v>108.0</v>
      </c>
      <c r="B109" s="4">
        <v>45866.86805555555</v>
      </c>
      <c r="C109" s="3" t="s">
        <v>9</v>
      </c>
      <c r="D109" s="5">
        <v>29.0</v>
      </c>
      <c r="E109" s="5">
        <v>29.5</v>
      </c>
      <c r="F109" s="6">
        <v>50.0</v>
      </c>
      <c r="G109" s="6">
        <v>1007.0</v>
      </c>
      <c r="H109" s="3" t="s">
        <v>17</v>
      </c>
      <c r="I109" s="5">
        <v>17.4</v>
      </c>
    </row>
    <row r="110" ht="15.75" customHeight="1">
      <c r="A110" s="3">
        <v>109.0</v>
      </c>
      <c r="B110" s="4">
        <v>45868.6875</v>
      </c>
      <c r="C110" s="3" t="s">
        <v>9</v>
      </c>
      <c r="D110" s="5">
        <v>23.3</v>
      </c>
      <c r="E110" s="5">
        <v>23.7</v>
      </c>
      <c r="F110" s="6">
        <v>64.0</v>
      </c>
      <c r="G110" s="6">
        <v>1016.0</v>
      </c>
      <c r="H110" s="3" t="s">
        <v>10</v>
      </c>
      <c r="I110" s="5">
        <v>15.9</v>
      </c>
    </row>
    <row r="111" ht="15.75" customHeight="1">
      <c r="A111" s="3">
        <v>110.0</v>
      </c>
      <c r="B111" s="4">
        <v>45869.81944444445</v>
      </c>
      <c r="C111" s="3" t="s">
        <v>9</v>
      </c>
      <c r="D111" s="5">
        <v>28.6</v>
      </c>
      <c r="E111" s="5">
        <v>29.2</v>
      </c>
      <c r="F111" s="6">
        <v>49.0</v>
      </c>
      <c r="G111" s="6">
        <v>1014.0</v>
      </c>
      <c r="H111" s="3" t="s">
        <v>12</v>
      </c>
      <c r="I111" s="5">
        <v>15.1</v>
      </c>
    </row>
    <row r="112" ht="15.75" customHeight="1">
      <c r="A112" s="3">
        <v>111.0</v>
      </c>
      <c r="B112" s="4">
        <v>45870.84027777778</v>
      </c>
      <c r="C112" s="3" t="s">
        <v>9</v>
      </c>
      <c r="D112" s="5">
        <v>27.0</v>
      </c>
      <c r="E112" s="5">
        <v>27.6</v>
      </c>
      <c r="F112" s="6">
        <v>38.0</v>
      </c>
      <c r="G112" s="6">
        <v>1016.0</v>
      </c>
      <c r="H112" s="3" t="s">
        <v>10</v>
      </c>
      <c r="I112" s="5">
        <v>12.1</v>
      </c>
    </row>
    <row r="113" ht="15.75" customHeight="1">
      <c r="A113" s="3">
        <v>112.0</v>
      </c>
      <c r="B113" s="4">
        <v>45871.89583333334</v>
      </c>
      <c r="C113" s="3" t="s">
        <v>9</v>
      </c>
      <c r="D113" s="5">
        <v>26.0</v>
      </c>
      <c r="E113" s="5">
        <v>26.5</v>
      </c>
      <c r="F113" s="6">
        <v>63.0</v>
      </c>
      <c r="G113" s="6">
        <v>1006.0</v>
      </c>
      <c r="H113" s="3" t="s">
        <v>17</v>
      </c>
      <c r="I113" s="5">
        <v>23.5</v>
      </c>
    </row>
    <row r="114" ht="15.75" customHeight="1">
      <c r="A114" s="3">
        <v>113.0</v>
      </c>
      <c r="B114" s="4">
        <v>45872.59027777778</v>
      </c>
      <c r="C114" s="3" t="s">
        <v>9</v>
      </c>
      <c r="D114" s="5">
        <v>24.7</v>
      </c>
      <c r="E114" s="5">
        <v>23.8</v>
      </c>
      <c r="F114" s="6">
        <v>62.0</v>
      </c>
      <c r="G114" s="6">
        <v>1012.0</v>
      </c>
      <c r="H114" s="3" t="s">
        <v>14</v>
      </c>
      <c r="I114" s="5">
        <v>15.6</v>
      </c>
    </row>
    <row r="115" ht="15.75" customHeight="1">
      <c r="A115" s="3">
        <v>114.0</v>
      </c>
      <c r="B115" s="4">
        <v>45873.61111111111</v>
      </c>
      <c r="C115" s="3" t="s">
        <v>9</v>
      </c>
      <c r="D115" s="5">
        <v>21.0</v>
      </c>
      <c r="E115" s="5">
        <v>20.1</v>
      </c>
      <c r="F115" s="6">
        <v>69.0</v>
      </c>
      <c r="G115" s="6">
        <v>1010.0</v>
      </c>
      <c r="H115" s="3" t="s">
        <v>15</v>
      </c>
      <c r="I115" s="5">
        <v>14.8</v>
      </c>
    </row>
    <row r="116" ht="15.75" customHeight="1">
      <c r="A116" s="3">
        <v>115.0</v>
      </c>
      <c r="B116" s="4">
        <v>45874.90972222222</v>
      </c>
      <c r="C116" s="3" t="s">
        <v>9</v>
      </c>
      <c r="D116" s="5">
        <v>25.5</v>
      </c>
      <c r="E116" s="5">
        <v>24.7</v>
      </c>
      <c r="F116" s="6">
        <v>55.0</v>
      </c>
      <c r="G116" s="6">
        <v>1013.0</v>
      </c>
      <c r="H116" s="3" t="s">
        <v>10</v>
      </c>
      <c r="I116" s="5">
        <v>12.9</v>
      </c>
    </row>
    <row r="117" ht="15.75" customHeight="1">
      <c r="A117" s="3">
        <v>116.0</v>
      </c>
      <c r="B117" s="4">
        <v>45875.55555555555</v>
      </c>
      <c r="C117" s="3" t="s">
        <v>9</v>
      </c>
      <c r="D117" s="5">
        <v>22.2</v>
      </c>
      <c r="E117" s="5">
        <v>21.6</v>
      </c>
      <c r="F117" s="6">
        <v>66.0</v>
      </c>
      <c r="G117" s="6">
        <v>1006.0</v>
      </c>
      <c r="H117" s="3" t="s">
        <v>17</v>
      </c>
      <c r="I117" s="5">
        <v>19.4</v>
      </c>
    </row>
    <row r="118" ht="15.75" customHeight="1">
      <c r="A118" s="3">
        <v>117.0</v>
      </c>
      <c r="B118" s="4">
        <v>45876.83333333334</v>
      </c>
      <c r="C118" s="3" t="s">
        <v>9</v>
      </c>
      <c r="D118" s="5">
        <v>27.0</v>
      </c>
      <c r="E118" s="5">
        <v>28.1</v>
      </c>
      <c r="F118" s="6">
        <v>64.0</v>
      </c>
      <c r="G118" s="6">
        <v>1004.0</v>
      </c>
      <c r="H118" s="3" t="s">
        <v>15</v>
      </c>
      <c r="I118" s="5">
        <v>18.2</v>
      </c>
    </row>
    <row r="119" ht="15.75" customHeight="1">
      <c r="A119" s="3">
        <v>118.0</v>
      </c>
      <c r="B119" s="4">
        <v>45877.63194444445</v>
      </c>
      <c r="C119" s="3" t="s">
        <v>9</v>
      </c>
      <c r="D119" s="5">
        <v>24.3</v>
      </c>
      <c r="E119" s="5">
        <v>23.2</v>
      </c>
      <c r="F119" s="6">
        <v>57.0</v>
      </c>
      <c r="G119" s="6">
        <v>1006.0</v>
      </c>
      <c r="H119" s="3" t="s">
        <v>14</v>
      </c>
      <c r="I119" s="5">
        <v>19.7</v>
      </c>
    </row>
    <row r="120" ht="15.75" customHeight="1">
      <c r="A120" s="3">
        <v>119.0</v>
      </c>
      <c r="B120" s="4">
        <v>45878.59722222222</v>
      </c>
      <c r="C120" s="3" t="s">
        <v>9</v>
      </c>
      <c r="D120" s="5">
        <v>22.8</v>
      </c>
      <c r="E120" s="5">
        <v>23.1</v>
      </c>
      <c r="F120" s="6">
        <v>51.0</v>
      </c>
      <c r="G120" s="6">
        <v>1015.0</v>
      </c>
      <c r="H120" s="3" t="s">
        <v>10</v>
      </c>
      <c r="I120" s="5">
        <v>13.7</v>
      </c>
    </row>
    <row r="121" ht="15.75" customHeight="1">
      <c r="A121" s="3">
        <v>120.0</v>
      </c>
      <c r="B121" s="4">
        <v>45879.69444444445</v>
      </c>
      <c r="C121" s="3" t="s">
        <v>9</v>
      </c>
      <c r="D121" s="5">
        <v>23.8</v>
      </c>
      <c r="E121" s="5">
        <v>24.2</v>
      </c>
      <c r="F121" s="6">
        <v>48.0</v>
      </c>
      <c r="G121" s="6">
        <v>1013.0</v>
      </c>
      <c r="H121" s="3" t="s">
        <v>10</v>
      </c>
      <c r="I121" s="5">
        <v>19.7</v>
      </c>
    </row>
    <row r="122" ht="15.75" customHeight="1">
      <c r="A122" s="3">
        <v>121.0</v>
      </c>
      <c r="B122" s="4">
        <v>45880.34027777778</v>
      </c>
      <c r="C122" s="3" t="s">
        <v>9</v>
      </c>
      <c r="D122" s="5">
        <v>20.5</v>
      </c>
      <c r="E122" s="5">
        <v>20.6</v>
      </c>
      <c r="F122" s="6">
        <v>80.0</v>
      </c>
      <c r="G122" s="6">
        <v>1001.0</v>
      </c>
      <c r="H122" s="3" t="s">
        <v>11</v>
      </c>
      <c r="I122" s="5">
        <v>23.7</v>
      </c>
    </row>
    <row r="123" ht="15.75" customHeight="1">
      <c r="A123" s="3">
        <v>122.0</v>
      </c>
      <c r="B123" s="4">
        <v>45881.42361111111</v>
      </c>
      <c r="C123" s="3" t="s">
        <v>9</v>
      </c>
      <c r="D123" s="5">
        <v>24.2</v>
      </c>
      <c r="E123" s="5">
        <v>25.0</v>
      </c>
      <c r="F123" s="6">
        <v>63.0</v>
      </c>
      <c r="G123" s="6">
        <v>1018.0</v>
      </c>
      <c r="H123" s="3" t="s">
        <v>12</v>
      </c>
      <c r="I123" s="5">
        <v>16.6</v>
      </c>
    </row>
    <row r="124" ht="15.75" customHeight="1">
      <c r="A124" s="3">
        <v>123.0</v>
      </c>
      <c r="B124" s="4">
        <v>45882.78472222222</v>
      </c>
      <c r="C124" s="3" t="s">
        <v>9</v>
      </c>
      <c r="D124" s="5">
        <v>22.5</v>
      </c>
      <c r="E124" s="5">
        <v>23.1</v>
      </c>
      <c r="F124" s="6">
        <v>68.0</v>
      </c>
      <c r="G124" s="6">
        <v>1007.0</v>
      </c>
      <c r="H124" s="3" t="s">
        <v>13</v>
      </c>
      <c r="I124" s="5">
        <v>16.7</v>
      </c>
    </row>
    <row r="125" ht="15.75" customHeight="1">
      <c r="A125" s="3">
        <v>124.0</v>
      </c>
      <c r="B125" s="4">
        <v>45883.45138888889</v>
      </c>
      <c r="C125" s="3" t="s">
        <v>9</v>
      </c>
      <c r="D125" s="5">
        <v>26.6</v>
      </c>
      <c r="E125" s="5">
        <v>26.5</v>
      </c>
      <c r="F125" s="6">
        <v>59.0</v>
      </c>
      <c r="G125" s="6">
        <v>1014.0</v>
      </c>
      <c r="H125" s="3" t="s">
        <v>10</v>
      </c>
      <c r="I125" s="5">
        <v>16.1</v>
      </c>
    </row>
    <row r="126" ht="15.75" customHeight="1">
      <c r="A126" s="3">
        <v>125.0</v>
      </c>
      <c r="B126" s="4">
        <v>45884.5</v>
      </c>
      <c r="C126" s="3" t="s">
        <v>9</v>
      </c>
      <c r="D126" s="5">
        <v>22.0</v>
      </c>
      <c r="E126" s="5">
        <v>21.0</v>
      </c>
      <c r="F126" s="6">
        <v>53.0</v>
      </c>
      <c r="G126" s="6">
        <v>1005.0</v>
      </c>
      <c r="H126" s="3" t="s">
        <v>14</v>
      </c>
      <c r="I126" s="5">
        <v>22.4</v>
      </c>
    </row>
    <row r="127" ht="15.75" customHeight="1">
      <c r="A127" s="3">
        <v>126.0</v>
      </c>
      <c r="B127" s="4">
        <v>45885.8125</v>
      </c>
      <c r="C127" s="3" t="s">
        <v>9</v>
      </c>
      <c r="D127" s="5">
        <v>27.0</v>
      </c>
      <c r="E127" s="5">
        <v>27.8</v>
      </c>
      <c r="F127" s="6">
        <v>59.0</v>
      </c>
      <c r="G127" s="6">
        <v>1015.0</v>
      </c>
      <c r="H127" s="3" t="s">
        <v>10</v>
      </c>
      <c r="I127" s="5">
        <v>15.5</v>
      </c>
    </row>
    <row r="128" ht="15.75" customHeight="1">
      <c r="A128" s="3">
        <v>127.0</v>
      </c>
      <c r="B128" s="4">
        <v>45886.69444444445</v>
      </c>
      <c r="C128" s="3" t="s">
        <v>9</v>
      </c>
      <c r="D128" s="5">
        <v>27.0</v>
      </c>
      <c r="E128" s="5">
        <v>26.0</v>
      </c>
      <c r="F128" s="6">
        <v>54.0</v>
      </c>
      <c r="G128" s="6">
        <v>1011.0</v>
      </c>
      <c r="H128" s="3" t="s">
        <v>10</v>
      </c>
      <c r="I128" s="5">
        <v>14.9</v>
      </c>
    </row>
    <row r="129" ht="15.75" customHeight="1">
      <c r="A129" s="3">
        <v>128.0</v>
      </c>
      <c r="B129" s="4">
        <v>45887.85416666666</v>
      </c>
      <c r="C129" s="3" t="s">
        <v>9</v>
      </c>
      <c r="D129" s="5">
        <v>27.7</v>
      </c>
      <c r="E129" s="5">
        <v>28.8</v>
      </c>
      <c r="F129" s="6">
        <v>59.0</v>
      </c>
      <c r="G129" s="6">
        <v>1005.0</v>
      </c>
      <c r="H129" s="3" t="s">
        <v>14</v>
      </c>
      <c r="I129" s="5">
        <v>19.2</v>
      </c>
    </row>
    <row r="130" ht="15.75" customHeight="1">
      <c r="A130" s="3">
        <v>129.0</v>
      </c>
      <c r="B130" s="4">
        <v>45888.29861111111</v>
      </c>
      <c r="C130" s="3" t="s">
        <v>9</v>
      </c>
      <c r="D130" s="5">
        <v>18.9</v>
      </c>
      <c r="E130" s="5">
        <v>19.4</v>
      </c>
      <c r="F130" s="6">
        <v>79.0</v>
      </c>
      <c r="G130" s="6">
        <v>1010.0</v>
      </c>
      <c r="H130" s="3" t="s">
        <v>15</v>
      </c>
      <c r="I130" s="5">
        <v>15.7</v>
      </c>
    </row>
    <row r="131" ht="15.75" customHeight="1">
      <c r="A131" s="3">
        <v>130.0</v>
      </c>
      <c r="B131" s="4">
        <v>45889.8125</v>
      </c>
      <c r="C131" s="3" t="s">
        <v>9</v>
      </c>
      <c r="D131" s="5">
        <v>27.3</v>
      </c>
      <c r="E131" s="5">
        <v>28.8</v>
      </c>
      <c r="F131" s="6">
        <v>65.0</v>
      </c>
      <c r="G131" s="6">
        <v>1014.0</v>
      </c>
      <c r="H131" s="3" t="s">
        <v>10</v>
      </c>
      <c r="I131" s="5">
        <v>16.8</v>
      </c>
    </row>
    <row r="132" ht="15.75" customHeight="1">
      <c r="A132" s="3">
        <v>131.0</v>
      </c>
      <c r="B132" s="4">
        <v>45890.27777777778</v>
      </c>
      <c r="C132" s="3" t="s">
        <v>9</v>
      </c>
      <c r="D132" s="5">
        <v>23.5</v>
      </c>
      <c r="E132" s="5">
        <v>23.8</v>
      </c>
      <c r="F132" s="6">
        <v>64.0</v>
      </c>
      <c r="G132" s="6">
        <v>1022.0</v>
      </c>
      <c r="H132" s="3" t="s">
        <v>10</v>
      </c>
      <c r="I132" s="5">
        <v>15.9</v>
      </c>
    </row>
    <row r="133" ht="15.75" customHeight="1">
      <c r="A133" s="3">
        <v>132.0</v>
      </c>
      <c r="B133" s="4">
        <v>45891.77083333334</v>
      </c>
      <c r="C133" s="3" t="s">
        <v>9</v>
      </c>
      <c r="D133" s="5">
        <v>27.2</v>
      </c>
      <c r="E133" s="5">
        <v>26.5</v>
      </c>
      <c r="F133" s="6">
        <v>62.0</v>
      </c>
      <c r="G133" s="6">
        <v>1005.0</v>
      </c>
      <c r="H133" s="3" t="s">
        <v>12</v>
      </c>
      <c r="I133" s="5">
        <v>29.9</v>
      </c>
    </row>
    <row r="134" ht="15.75" customHeight="1">
      <c r="A134" s="3">
        <v>133.0</v>
      </c>
      <c r="B134" s="4">
        <v>45892.26388888889</v>
      </c>
      <c r="C134" s="3" t="s">
        <v>9</v>
      </c>
      <c r="D134" s="5">
        <v>22.7</v>
      </c>
      <c r="E134" s="5">
        <v>23.8</v>
      </c>
      <c r="F134" s="6">
        <v>65.0</v>
      </c>
      <c r="G134" s="6">
        <v>1002.0</v>
      </c>
      <c r="H134" s="3" t="s">
        <v>13</v>
      </c>
      <c r="I134" s="5">
        <v>22.5</v>
      </c>
    </row>
    <row r="135" ht="15.75" customHeight="1">
      <c r="A135" s="3">
        <v>134.0</v>
      </c>
      <c r="B135" s="4">
        <v>45893.64583333334</v>
      </c>
      <c r="C135" s="3" t="s">
        <v>9</v>
      </c>
      <c r="D135" s="5">
        <v>27.2</v>
      </c>
      <c r="E135" s="5">
        <v>27.9</v>
      </c>
      <c r="F135" s="6">
        <v>59.0</v>
      </c>
      <c r="G135" s="6">
        <v>1013.0</v>
      </c>
      <c r="H135" s="3" t="s">
        <v>10</v>
      </c>
      <c r="I135" s="5">
        <v>14.4</v>
      </c>
    </row>
    <row r="136" ht="15.75" customHeight="1">
      <c r="A136" s="3">
        <v>135.0</v>
      </c>
      <c r="B136" s="4">
        <v>45894.81944444445</v>
      </c>
      <c r="C136" s="3" t="s">
        <v>9</v>
      </c>
      <c r="D136" s="5">
        <v>26.7</v>
      </c>
      <c r="E136" s="5">
        <v>25.7</v>
      </c>
      <c r="F136" s="6">
        <v>61.0</v>
      </c>
      <c r="G136" s="6">
        <v>1011.0</v>
      </c>
      <c r="H136" s="3" t="s">
        <v>14</v>
      </c>
      <c r="I136" s="5">
        <v>15.1</v>
      </c>
    </row>
    <row r="137" ht="15.75" customHeight="1">
      <c r="A137" s="3">
        <v>136.0</v>
      </c>
      <c r="B137" s="4">
        <v>45895.5625</v>
      </c>
      <c r="C137" s="3" t="s">
        <v>9</v>
      </c>
      <c r="D137" s="5">
        <v>25.4</v>
      </c>
      <c r="E137" s="5">
        <v>24.8</v>
      </c>
      <c r="F137" s="6">
        <v>67.0</v>
      </c>
      <c r="G137" s="6">
        <v>1007.0</v>
      </c>
      <c r="H137" s="3" t="s">
        <v>17</v>
      </c>
      <c r="I137" s="5">
        <v>19.8</v>
      </c>
    </row>
    <row r="138" ht="15.75" customHeight="1">
      <c r="A138" s="3">
        <v>137.0</v>
      </c>
      <c r="B138" s="4">
        <v>45896.55555555555</v>
      </c>
      <c r="C138" s="3" t="s">
        <v>9</v>
      </c>
      <c r="D138" s="5">
        <v>21.7</v>
      </c>
      <c r="E138" s="5">
        <v>22.0</v>
      </c>
      <c r="F138" s="6">
        <v>55.0</v>
      </c>
      <c r="G138" s="6">
        <v>1016.0</v>
      </c>
      <c r="H138" s="3" t="s">
        <v>12</v>
      </c>
      <c r="I138" s="5">
        <v>15.4</v>
      </c>
    </row>
    <row r="139" ht="15.75" customHeight="1">
      <c r="A139" s="3">
        <v>138.0</v>
      </c>
      <c r="B139" s="4">
        <v>45897.8125</v>
      </c>
      <c r="C139" s="3" t="s">
        <v>9</v>
      </c>
      <c r="D139" s="5">
        <v>32.1</v>
      </c>
      <c r="E139" s="5">
        <v>33.0</v>
      </c>
      <c r="F139" s="6">
        <v>72.0</v>
      </c>
      <c r="G139" s="6">
        <v>1012.0</v>
      </c>
      <c r="H139" s="3" t="s">
        <v>15</v>
      </c>
      <c r="I139" s="5">
        <v>15.8</v>
      </c>
    </row>
    <row r="140" ht="15.75" customHeight="1">
      <c r="A140" s="3">
        <v>139.0</v>
      </c>
      <c r="B140" s="4">
        <v>45898.27083333334</v>
      </c>
      <c r="C140" s="3" t="s">
        <v>9</v>
      </c>
      <c r="D140" s="5">
        <v>21.7</v>
      </c>
      <c r="E140" s="5">
        <v>22.0</v>
      </c>
      <c r="F140" s="6">
        <v>71.0</v>
      </c>
      <c r="G140" s="6">
        <v>1009.0</v>
      </c>
      <c r="H140" s="3" t="s">
        <v>10</v>
      </c>
      <c r="I140" s="5">
        <v>16.2</v>
      </c>
    </row>
    <row r="141" ht="15.75" customHeight="1">
      <c r="A141" s="3">
        <v>140.0</v>
      </c>
      <c r="B141" s="4">
        <v>45899.70138888889</v>
      </c>
      <c r="C141" s="3" t="s">
        <v>9</v>
      </c>
      <c r="D141" s="5">
        <v>27.8</v>
      </c>
      <c r="E141" s="5">
        <v>27.7</v>
      </c>
      <c r="F141" s="6">
        <v>64.0</v>
      </c>
      <c r="G141" s="6">
        <v>1015.0</v>
      </c>
      <c r="H141" s="3" t="s">
        <v>10</v>
      </c>
      <c r="I141" s="5">
        <v>17.1</v>
      </c>
    </row>
    <row r="142" ht="15.75" customHeight="1">
      <c r="A142" s="3">
        <v>141.0</v>
      </c>
      <c r="B142" s="4">
        <v>45900.78472222222</v>
      </c>
      <c r="C142" s="3" t="s">
        <v>9</v>
      </c>
      <c r="D142" s="5">
        <v>26.1</v>
      </c>
      <c r="E142" s="5">
        <v>28.7</v>
      </c>
      <c r="F142" s="6">
        <v>78.0</v>
      </c>
      <c r="G142" s="6">
        <v>1003.0</v>
      </c>
      <c r="H142" s="3" t="s">
        <v>11</v>
      </c>
      <c r="I142" s="5">
        <v>21.2</v>
      </c>
    </row>
    <row r="143" ht="15.75" customHeight="1">
      <c r="A143" s="3">
        <v>142.0</v>
      </c>
      <c r="B143" s="4">
        <v>45901.47916666666</v>
      </c>
      <c r="C143" s="3" t="s">
        <v>9</v>
      </c>
      <c r="D143" s="5">
        <v>25.4</v>
      </c>
      <c r="E143" s="5">
        <v>25.6</v>
      </c>
      <c r="F143" s="6">
        <v>64.0</v>
      </c>
      <c r="G143" s="6">
        <v>1014.0</v>
      </c>
      <c r="H143" s="3" t="s">
        <v>10</v>
      </c>
      <c r="I143" s="5">
        <v>13.2</v>
      </c>
    </row>
    <row r="144" ht="15.75" customHeight="1">
      <c r="A144" s="3">
        <v>143.0</v>
      </c>
      <c r="B144" s="4">
        <v>45902.44444444445</v>
      </c>
      <c r="C144" s="3" t="s">
        <v>9</v>
      </c>
      <c r="D144" s="5">
        <v>20.6</v>
      </c>
      <c r="E144" s="5">
        <v>21.1</v>
      </c>
      <c r="F144" s="6">
        <v>56.0</v>
      </c>
      <c r="G144" s="6">
        <v>1016.0</v>
      </c>
      <c r="H144" s="3" t="s">
        <v>10</v>
      </c>
      <c r="I144" s="5">
        <v>14.9</v>
      </c>
    </row>
    <row r="145" ht="15.75" customHeight="1">
      <c r="A145" s="3">
        <v>144.0</v>
      </c>
      <c r="B145" s="4">
        <v>45903.27083333334</v>
      </c>
      <c r="C145" s="3" t="s">
        <v>9</v>
      </c>
      <c r="D145" s="5">
        <v>23.2</v>
      </c>
      <c r="E145" s="5">
        <v>22.8</v>
      </c>
      <c r="F145" s="6">
        <v>69.0</v>
      </c>
      <c r="G145" s="6">
        <v>1006.0</v>
      </c>
      <c r="H145" s="3" t="s">
        <v>15</v>
      </c>
      <c r="I145" s="5">
        <v>19.8</v>
      </c>
    </row>
    <row r="146" ht="15.75" customHeight="1">
      <c r="A146" s="3">
        <v>145.0</v>
      </c>
      <c r="B146" s="4">
        <v>45904.25</v>
      </c>
      <c r="C146" s="3" t="s">
        <v>9</v>
      </c>
      <c r="D146" s="5">
        <v>22.1</v>
      </c>
      <c r="E146" s="5">
        <v>22.4</v>
      </c>
      <c r="F146" s="6">
        <v>48.0</v>
      </c>
      <c r="G146" s="6">
        <v>1016.0</v>
      </c>
      <c r="H146" s="3" t="s">
        <v>10</v>
      </c>
      <c r="I146" s="5">
        <v>20.3</v>
      </c>
    </row>
    <row r="147" ht="15.75" customHeight="1">
      <c r="A147" s="3">
        <v>146.0</v>
      </c>
      <c r="B147" s="4">
        <v>45905.79861111111</v>
      </c>
      <c r="C147" s="3" t="s">
        <v>9</v>
      </c>
      <c r="D147" s="5">
        <v>30.5</v>
      </c>
      <c r="E147" s="5">
        <v>32.1</v>
      </c>
      <c r="F147" s="6">
        <v>66.0</v>
      </c>
      <c r="G147" s="6">
        <v>1013.0</v>
      </c>
      <c r="H147" s="3" t="s">
        <v>16</v>
      </c>
      <c r="I147" s="5">
        <v>15.4</v>
      </c>
    </row>
    <row r="148" ht="15.75" customHeight="1">
      <c r="A148" s="3">
        <v>147.0</v>
      </c>
      <c r="B148" s="4">
        <v>45906.84027777778</v>
      </c>
      <c r="C148" s="3" t="s">
        <v>9</v>
      </c>
      <c r="D148" s="5">
        <v>26.1</v>
      </c>
      <c r="E148" s="5">
        <v>26.5</v>
      </c>
      <c r="F148" s="6">
        <v>65.0</v>
      </c>
      <c r="G148" s="6">
        <v>1020.0</v>
      </c>
      <c r="H148" s="3" t="s">
        <v>10</v>
      </c>
      <c r="I148" s="5">
        <v>13.2</v>
      </c>
    </row>
    <row r="149" ht="15.75" customHeight="1">
      <c r="A149" s="3">
        <v>148.0</v>
      </c>
      <c r="B149" s="4">
        <v>45907.30555555555</v>
      </c>
      <c r="C149" s="3" t="s">
        <v>9</v>
      </c>
      <c r="D149" s="5">
        <v>24.3</v>
      </c>
      <c r="E149" s="5">
        <v>24.0</v>
      </c>
      <c r="F149" s="6">
        <v>68.0</v>
      </c>
      <c r="G149" s="6">
        <v>1012.0</v>
      </c>
      <c r="H149" s="3" t="s">
        <v>12</v>
      </c>
      <c r="I149" s="5">
        <v>17.1</v>
      </c>
    </row>
    <row r="150" ht="15.75" customHeight="1">
      <c r="A150" s="3">
        <v>149.0</v>
      </c>
      <c r="B150" s="4">
        <v>45908.76388888889</v>
      </c>
      <c r="C150" s="3" t="s">
        <v>9</v>
      </c>
      <c r="D150" s="5">
        <v>25.0</v>
      </c>
      <c r="E150" s="5">
        <v>25.4</v>
      </c>
      <c r="F150" s="6">
        <v>56.0</v>
      </c>
      <c r="G150" s="6">
        <v>1006.0</v>
      </c>
      <c r="H150" s="3" t="s">
        <v>11</v>
      </c>
      <c r="I150" s="5">
        <v>20.5</v>
      </c>
    </row>
    <row r="151" ht="15.75" customHeight="1">
      <c r="A151" s="3">
        <v>150.0</v>
      </c>
      <c r="B151" s="4">
        <v>45909.52083333334</v>
      </c>
      <c r="C151" s="3" t="s">
        <v>9</v>
      </c>
      <c r="D151" s="5">
        <v>20.0</v>
      </c>
      <c r="E151" s="5">
        <v>20.1</v>
      </c>
      <c r="F151" s="6">
        <v>71.0</v>
      </c>
      <c r="G151" s="6">
        <v>1007.0</v>
      </c>
      <c r="H151" s="3" t="s">
        <v>15</v>
      </c>
      <c r="I151" s="5">
        <v>21.1</v>
      </c>
    </row>
    <row r="152" ht="15.75" customHeight="1">
      <c r="A152" s="3">
        <v>151.0</v>
      </c>
      <c r="B152" s="4">
        <v>45910.68055555555</v>
      </c>
      <c r="C152" s="3" t="s">
        <v>9</v>
      </c>
      <c r="D152" s="5">
        <v>24.8</v>
      </c>
      <c r="E152" s="5">
        <v>25.9</v>
      </c>
      <c r="F152" s="6">
        <v>69.0</v>
      </c>
      <c r="G152" s="6">
        <v>1012.0</v>
      </c>
      <c r="H152" s="3" t="s">
        <v>16</v>
      </c>
      <c r="I152" s="5">
        <v>12.4</v>
      </c>
    </row>
    <row r="153" ht="15.75" customHeight="1">
      <c r="A153" s="3">
        <v>152.0</v>
      </c>
      <c r="B153" s="4">
        <v>45911.76388888889</v>
      </c>
      <c r="C153" s="3" t="s">
        <v>9</v>
      </c>
      <c r="D153" s="5">
        <v>26.5</v>
      </c>
      <c r="E153" s="5">
        <v>26.3</v>
      </c>
      <c r="F153" s="6">
        <v>50.0</v>
      </c>
      <c r="G153" s="6">
        <v>1011.0</v>
      </c>
      <c r="H153" s="3" t="s">
        <v>14</v>
      </c>
      <c r="I153" s="5">
        <v>15.4</v>
      </c>
    </row>
    <row r="154" ht="15.75" customHeight="1">
      <c r="A154" s="3">
        <v>153.0</v>
      </c>
      <c r="B154" s="4">
        <v>45912.80555555555</v>
      </c>
      <c r="C154" s="3" t="s">
        <v>9</v>
      </c>
      <c r="D154" s="5">
        <v>27.8</v>
      </c>
      <c r="E154" s="5">
        <v>29.5</v>
      </c>
      <c r="F154" s="6">
        <v>66.0</v>
      </c>
      <c r="G154" s="6">
        <v>1013.0</v>
      </c>
      <c r="H154" s="3" t="s">
        <v>10</v>
      </c>
      <c r="I154" s="5">
        <v>18.5</v>
      </c>
    </row>
    <row r="155" ht="15.75" customHeight="1">
      <c r="A155" s="3">
        <v>154.0</v>
      </c>
      <c r="B155" s="4">
        <v>45913.35416666666</v>
      </c>
      <c r="C155" s="3" t="s">
        <v>9</v>
      </c>
      <c r="D155" s="5">
        <v>19.5</v>
      </c>
      <c r="E155" s="5">
        <v>19.2</v>
      </c>
      <c r="F155" s="6">
        <v>70.0</v>
      </c>
      <c r="G155" s="6">
        <v>1014.0</v>
      </c>
      <c r="H155" s="3" t="s">
        <v>14</v>
      </c>
      <c r="I155" s="5">
        <v>13.9</v>
      </c>
    </row>
    <row r="156" ht="15.75" customHeight="1">
      <c r="A156" s="3">
        <v>155.0</v>
      </c>
      <c r="B156" s="4">
        <v>45914.28472222222</v>
      </c>
      <c r="C156" s="3" t="s">
        <v>9</v>
      </c>
      <c r="D156" s="5">
        <v>20.2</v>
      </c>
      <c r="E156" s="5">
        <v>21.0</v>
      </c>
      <c r="F156" s="6">
        <v>70.0</v>
      </c>
      <c r="G156" s="6">
        <v>999.0</v>
      </c>
      <c r="H156" s="3" t="s">
        <v>15</v>
      </c>
      <c r="I156" s="5">
        <v>28.5</v>
      </c>
    </row>
    <row r="157" ht="15.75" customHeight="1">
      <c r="A157" s="3">
        <v>156.0</v>
      </c>
      <c r="B157" s="4">
        <v>45915.30555555555</v>
      </c>
      <c r="C157" s="3" t="s">
        <v>9</v>
      </c>
      <c r="D157" s="5">
        <v>21.3</v>
      </c>
      <c r="E157" s="5">
        <v>20.9</v>
      </c>
      <c r="F157" s="6">
        <v>77.0</v>
      </c>
      <c r="G157" s="6">
        <v>1007.0</v>
      </c>
      <c r="H157" s="3" t="s">
        <v>16</v>
      </c>
      <c r="I157" s="5">
        <v>16.5</v>
      </c>
    </row>
    <row r="158" ht="15.75" customHeight="1">
      <c r="A158" s="3">
        <v>157.0</v>
      </c>
      <c r="B158" s="4">
        <v>45917.57638888889</v>
      </c>
      <c r="C158" s="3" t="s">
        <v>9</v>
      </c>
      <c r="D158" s="5">
        <v>22.4</v>
      </c>
      <c r="E158" s="5">
        <v>23.4</v>
      </c>
      <c r="F158" s="6">
        <v>70.0</v>
      </c>
      <c r="G158" s="6">
        <v>1009.0</v>
      </c>
      <c r="H158" s="3" t="s">
        <v>14</v>
      </c>
      <c r="I158" s="5">
        <v>14.2</v>
      </c>
    </row>
    <row r="159" ht="15.75" customHeight="1">
      <c r="A159" s="3">
        <v>158.0</v>
      </c>
      <c r="B159" s="4">
        <v>45918.36805555555</v>
      </c>
      <c r="C159" s="3" t="s">
        <v>9</v>
      </c>
      <c r="D159" s="5">
        <v>19.3</v>
      </c>
      <c r="E159" s="5">
        <v>18.5</v>
      </c>
      <c r="F159" s="6">
        <v>77.0</v>
      </c>
      <c r="G159" s="6">
        <v>1014.0</v>
      </c>
      <c r="H159" s="3" t="s">
        <v>16</v>
      </c>
      <c r="I159" s="5">
        <v>19.9</v>
      </c>
    </row>
    <row r="160" ht="15.75" customHeight="1">
      <c r="A160" s="3">
        <v>159.0</v>
      </c>
      <c r="B160" s="4">
        <v>45919.29166666666</v>
      </c>
      <c r="C160" s="3" t="s">
        <v>9</v>
      </c>
      <c r="D160" s="5">
        <v>21.7</v>
      </c>
      <c r="E160" s="5">
        <v>22.3</v>
      </c>
      <c r="F160" s="6">
        <v>77.0</v>
      </c>
      <c r="G160" s="6">
        <v>1012.0</v>
      </c>
      <c r="H160" s="3" t="s">
        <v>16</v>
      </c>
      <c r="I160" s="5">
        <v>19.6</v>
      </c>
    </row>
    <row r="161" ht="15.75" customHeight="1">
      <c r="A161" s="3">
        <v>160.0</v>
      </c>
      <c r="B161" s="4">
        <v>45920.54861111111</v>
      </c>
      <c r="C161" s="3" t="s">
        <v>9</v>
      </c>
      <c r="D161" s="5">
        <v>19.9</v>
      </c>
      <c r="E161" s="5">
        <v>20.2</v>
      </c>
      <c r="F161" s="6">
        <v>61.0</v>
      </c>
      <c r="G161" s="6">
        <v>1013.0</v>
      </c>
      <c r="H161" s="3" t="s">
        <v>10</v>
      </c>
      <c r="I161" s="5">
        <v>18.0</v>
      </c>
    </row>
    <row r="162" ht="15.75" customHeight="1">
      <c r="A162" s="3">
        <v>161.0</v>
      </c>
      <c r="B162" s="4">
        <v>45921.27777777778</v>
      </c>
      <c r="C162" s="3" t="s">
        <v>9</v>
      </c>
      <c r="D162" s="5">
        <v>22.6</v>
      </c>
      <c r="E162" s="5">
        <v>22.2</v>
      </c>
      <c r="F162" s="6">
        <v>59.0</v>
      </c>
      <c r="G162" s="6">
        <v>1012.0</v>
      </c>
      <c r="H162" s="3" t="s">
        <v>14</v>
      </c>
      <c r="I162" s="5">
        <v>14.0</v>
      </c>
    </row>
    <row r="163" ht="15.75" customHeight="1">
      <c r="A163" s="3">
        <v>162.0</v>
      </c>
      <c r="B163" s="4">
        <v>45922.42361111111</v>
      </c>
      <c r="C163" s="3" t="s">
        <v>9</v>
      </c>
      <c r="D163" s="5">
        <v>20.9</v>
      </c>
      <c r="E163" s="5">
        <v>19.8</v>
      </c>
      <c r="F163" s="6">
        <v>70.0</v>
      </c>
      <c r="G163" s="6">
        <v>1008.0</v>
      </c>
      <c r="H163" s="3" t="s">
        <v>17</v>
      </c>
      <c r="I163" s="5">
        <v>15.5</v>
      </c>
    </row>
    <row r="164" ht="15.75" customHeight="1">
      <c r="A164" s="3">
        <v>163.0</v>
      </c>
      <c r="B164" s="4">
        <v>45923.4375</v>
      </c>
      <c r="C164" s="3" t="s">
        <v>9</v>
      </c>
      <c r="D164" s="5">
        <v>21.2</v>
      </c>
      <c r="E164" s="5">
        <v>21.4</v>
      </c>
      <c r="F164" s="6">
        <v>59.0</v>
      </c>
      <c r="G164" s="6">
        <v>1018.0</v>
      </c>
      <c r="H164" s="3" t="s">
        <v>10</v>
      </c>
      <c r="I164" s="5">
        <v>19.3</v>
      </c>
    </row>
    <row r="165" ht="15.75" customHeight="1">
      <c r="A165" s="3">
        <v>164.0</v>
      </c>
      <c r="B165" s="4">
        <v>45924.40277777778</v>
      </c>
      <c r="C165" s="3" t="s">
        <v>9</v>
      </c>
      <c r="D165" s="5">
        <v>21.5</v>
      </c>
      <c r="E165" s="5">
        <v>21.1</v>
      </c>
      <c r="F165" s="6">
        <v>51.0</v>
      </c>
      <c r="G165" s="6">
        <v>1004.0</v>
      </c>
      <c r="H165" s="3" t="s">
        <v>12</v>
      </c>
      <c r="I165" s="5">
        <v>21.8</v>
      </c>
    </row>
    <row r="166" ht="15.75" customHeight="1">
      <c r="A166" s="3">
        <v>165.0</v>
      </c>
      <c r="B166" s="4">
        <v>45925.52083333334</v>
      </c>
      <c r="C166" s="3" t="s">
        <v>9</v>
      </c>
      <c r="D166" s="5">
        <v>20.8</v>
      </c>
      <c r="E166" s="5">
        <v>20.8</v>
      </c>
      <c r="F166" s="6">
        <v>63.0</v>
      </c>
      <c r="G166" s="6">
        <v>1015.0</v>
      </c>
      <c r="H166" s="3" t="s">
        <v>10</v>
      </c>
      <c r="I166" s="5">
        <v>13.3</v>
      </c>
    </row>
    <row r="167" ht="15.75" customHeight="1">
      <c r="A167" s="3">
        <v>166.0</v>
      </c>
      <c r="B167" s="4">
        <v>45926.59722222222</v>
      </c>
      <c r="C167" s="3" t="s">
        <v>9</v>
      </c>
      <c r="D167" s="5">
        <v>23.5</v>
      </c>
      <c r="E167" s="5">
        <v>22.7</v>
      </c>
      <c r="F167" s="6">
        <v>72.0</v>
      </c>
      <c r="G167" s="6">
        <v>1007.0</v>
      </c>
      <c r="H167" s="3" t="s">
        <v>17</v>
      </c>
      <c r="I167" s="5">
        <v>17.8</v>
      </c>
    </row>
    <row r="168" ht="15.75" customHeight="1">
      <c r="A168" s="3">
        <v>167.0</v>
      </c>
      <c r="B168" s="4">
        <v>45927.48611111111</v>
      </c>
      <c r="C168" s="3" t="s">
        <v>9</v>
      </c>
      <c r="D168" s="5">
        <v>20.1</v>
      </c>
      <c r="E168" s="5">
        <v>20.7</v>
      </c>
      <c r="F168" s="6">
        <v>72.0</v>
      </c>
      <c r="G168" s="6">
        <v>1008.0</v>
      </c>
      <c r="H168" s="3" t="s">
        <v>12</v>
      </c>
      <c r="I168" s="5">
        <v>17.3</v>
      </c>
    </row>
    <row r="169" ht="15.75" customHeight="1">
      <c r="A169" s="3">
        <v>168.0</v>
      </c>
      <c r="B169" s="4">
        <v>45928.38194444445</v>
      </c>
      <c r="C169" s="3" t="s">
        <v>9</v>
      </c>
      <c r="D169" s="5">
        <v>19.9</v>
      </c>
      <c r="E169" s="5">
        <v>20.4</v>
      </c>
      <c r="F169" s="6">
        <v>66.0</v>
      </c>
      <c r="G169" s="6">
        <v>1017.0</v>
      </c>
      <c r="H169" s="3" t="s">
        <v>12</v>
      </c>
      <c r="I169" s="5">
        <v>16.4</v>
      </c>
    </row>
    <row r="170" ht="15.75" customHeight="1">
      <c r="A170" s="3">
        <v>169.0</v>
      </c>
      <c r="B170" s="4">
        <v>45929.625</v>
      </c>
      <c r="C170" s="3" t="s">
        <v>9</v>
      </c>
      <c r="D170" s="5">
        <v>21.3</v>
      </c>
      <c r="E170" s="5">
        <v>22.4</v>
      </c>
      <c r="F170" s="6">
        <v>48.0</v>
      </c>
      <c r="G170" s="6">
        <v>1015.0</v>
      </c>
      <c r="H170" s="3" t="s">
        <v>10</v>
      </c>
      <c r="I170" s="5">
        <v>15.4</v>
      </c>
    </row>
    <row r="171" ht="15.75" customHeight="1">
      <c r="A171" s="3">
        <v>170.0</v>
      </c>
      <c r="B171" s="4">
        <v>45930.26388888889</v>
      </c>
      <c r="C171" s="3" t="s">
        <v>9</v>
      </c>
      <c r="D171" s="5">
        <v>19.8</v>
      </c>
      <c r="E171" s="5">
        <v>19.5</v>
      </c>
      <c r="F171" s="6">
        <v>61.0</v>
      </c>
      <c r="G171" s="6">
        <v>1003.0</v>
      </c>
      <c r="H171" s="3" t="s">
        <v>16</v>
      </c>
      <c r="I171" s="5">
        <v>26.5</v>
      </c>
    </row>
    <row r="172" ht="15.75" customHeight="1">
      <c r="A172" s="3">
        <v>171.0</v>
      </c>
      <c r="B172" s="4">
        <v>45931.77083333334</v>
      </c>
      <c r="C172" s="3" t="s">
        <v>9</v>
      </c>
      <c r="D172" s="5">
        <v>25.6</v>
      </c>
      <c r="E172" s="5">
        <v>26.0</v>
      </c>
      <c r="F172" s="6">
        <v>52.0</v>
      </c>
      <c r="G172" s="6">
        <v>1008.0</v>
      </c>
      <c r="H172" s="3" t="s">
        <v>14</v>
      </c>
      <c r="I172" s="5">
        <v>23.2</v>
      </c>
    </row>
    <row r="173" ht="15.75" customHeight="1">
      <c r="A173" s="3">
        <v>172.0</v>
      </c>
      <c r="B173" s="4">
        <v>45932.5</v>
      </c>
      <c r="C173" s="3" t="s">
        <v>9</v>
      </c>
      <c r="D173" s="5">
        <v>18.7</v>
      </c>
      <c r="E173" s="5">
        <v>18.0</v>
      </c>
      <c r="F173" s="6">
        <v>66.0</v>
      </c>
      <c r="G173" s="6">
        <v>1008.0</v>
      </c>
      <c r="H173" s="3" t="s">
        <v>16</v>
      </c>
      <c r="I173" s="5">
        <v>17.3</v>
      </c>
    </row>
    <row r="174" ht="15.75" customHeight="1">
      <c r="A174" s="3">
        <v>173.0</v>
      </c>
      <c r="B174" s="4">
        <v>45933.54166666666</v>
      </c>
      <c r="C174" s="3" t="s">
        <v>9</v>
      </c>
      <c r="D174" s="5">
        <v>21.3</v>
      </c>
      <c r="E174" s="5">
        <v>22.1</v>
      </c>
      <c r="F174" s="6">
        <v>93.0</v>
      </c>
      <c r="G174" s="6">
        <v>1004.0</v>
      </c>
      <c r="H174" s="3" t="s">
        <v>11</v>
      </c>
      <c r="I174" s="5">
        <v>17.8</v>
      </c>
    </row>
    <row r="175" ht="15.75" customHeight="1">
      <c r="A175" s="3">
        <v>174.0</v>
      </c>
      <c r="B175" s="4">
        <v>45934.65972222222</v>
      </c>
      <c r="C175" s="3" t="s">
        <v>9</v>
      </c>
      <c r="D175" s="5">
        <v>22.0</v>
      </c>
      <c r="E175" s="5">
        <v>22.7</v>
      </c>
      <c r="F175" s="6">
        <v>74.0</v>
      </c>
      <c r="G175" s="6">
        <v>1006.0</v>
      </c>
      <c r="H175" s="3" t="s">
        <v>11</v>
      </c>
      <c r="I175" s="5">
        <v>29.3</v>
      </c>
    </row>
    <row r="176" ht="15.75" customHeight="1">
      <c r="A176" s="3">
        <v>175.0</v>
      </c>
      <c r="B176" s="4">
        <v>45935.40277777778</v>
      </c>
      <c r="C176" s="3" t="s">
        <v>9</v>
      </c>
      <c r="D176" s="5">
        <v>19.6</v>
      </c>
      <c r="E176" s="5">
        <v>18.9</v>
      </c>
      <c r="F176" s="6">
        <v>84.0</v>
      </c>
      <c r="G176" s="6">
        <v>1003.0</v>
      </c>
      <c r="H176" s="3" t="s">
        <v>15</v>
      </c>
      <c r="I176" s="5">
        <v>20.7</v>
      </c>
    </row>
    <row r="177" ht="15.75" customHeight="1">
      <c r="A177" s="3">
        <v>176.0</v>
      </c>
      <c r="B177" s="4">
        <v>45936.30555555555</v>
      </c>
      <c r="C177" s="3" t="s">
        <v>9</v>
      </c>
      <c r="D177" s="5">
        <v>19.2</v>
      </c>
      <c r="E177" s="5">
        <v>19.3</v>
      </c>
      <c r="F177" s="6">
        <v>97.0</v>
      </c>
      <c r="G177" s="6">
        <v>1012.0</v>
      </c>
      <c r="H177" s="3" t="s">
        <v>15</v>
      </c>
      <c r="I177" s="5">
        <v>22.6</v>
      </c>
    </row>
    <row r="178" ht="15.75" customHeight="1">
      <c r="A178" s="3">
        <v>177.0</v>
      </c>
      <c r="B178" s="4">
        <v>45937.82638888889</v>
      </c>
      <c r="C178" s="3" t="s">
        <v>9</v>
      </c>
      <c r="D178" s="5">
        <v>27.5</v>
      </c>
      <c r="E178" s="5">
        <v>27.9</v>
      </c>
      <c r="F178" s="6">
        <v>63.0</v>
      </c>
      <c r="G178" s="6">
        <v>1012.0</v>
      </c>
      <c r="H178" s="3" t="s">
        <v>17</v>
      </c>
      <c r="I178" s="5">
        <v>15.4</v>
      </c>
    </row>
    <row r="179" ht="15.75" customHeight="1">
      <c r="A179" s="3">
        <v>178.0</v>
      </c>
      <c r="B179" s="4">
        <v>45938.70833333334</v>
      </c>
      <c r="C179" s="3" t="s">
        <v>9</v>
      </c>
      <c r="D179" s="5">
        <v>25.2</v>
      </c>
      <c r="E179" s="5">
        <v>24.7</v>
      </c>
      <c r="F179" s="6">
        <v>55.0</v>
      </c>
      <c r="G179" s="6">
        <v>1020.0</v>
      </c>
      <c r="H179" s="3" t="s">
        <v>10</v>
      </c>
      <c r="I179" s="5">
        <v>18.7</v>
      </c>
    </row>
    <row r="180" ht="15.75" customHeight="1">
      <c r="A180" s="3">
        <v>179.0</v>
      </c>
      <c r="B180" s="4">
        <v>45939.66666666666</v>
      </c>
      <c r="C180" s="3" t="s">
        <v>9</v>
      </c>
      <c r="D180" s="5">
        <v>23.2</v>
      </c>
      <c r="E180" s="5">
        <v>22.9</v>
      </c>
      <c r="F180" s="6">
        <v>74.0</v>
      </c>
      <c r="G180" s="6">
        <v>999.0</v>
      </c>
      <c r="H180" s="3" t="s">
        <v>15</v>
      </c>
      <c r="I180" s="5">
        <v>26.1</v>
      </c>
    </row>
    <row r="181" ht="15.75" customHeight="1">
      <c r="A181" s="3">
        <v>180.0</v>
      </c>
      <c r="B181" s="4">
        <v>45940.8125</v>
      </c>
      <c r="C181" s="3" t="s">
        <v>9</v>
      </c>
      <c r="D181" s="5">
        <v>23.0</v>
      </c>
      <c r="E181" s="5">
        <v>22.0</v>
      </c>
      <c r="F181" s="6">
        <v>73.0</v>
      </c>
      <c r="G181" s="6">
        <v>1014.0</v>
      </c>
      <c r="H181" s="3" t="s">
        <v>12</v>
      </c>
      <c r="I181" s="5">
        <v>14.4</v>
      </c>
    </row>
    <row r="182" ht="15.75" customHeight="1">
      <c r="A182" s="3">
        <v>181.0</v>
      </c>
      <c r="B182" s="4">
        <v>45941.39583333334</v>
      </c>
      <c r="C182" s="3" t="s">
        <v>9</v>
      </c>
      <c r="D182" s="5">
        <v>18.7</v>
      </c>
      <c r="E182" s="5">
        <v>19.3</v>
      </c>
      <c r="F182" s="6">
        <v>58.0</v>
      </c>
      <c r="G182" s="6">
        <v>1015.0</v>
      </c>
      <c r="H182" s="3" t="s">
        <v>10</v>
      </c>
      <c r="I182" s="5">
        <v>14.1</v>
      </c>
    </row>
    <row r="183" ht="15.75" customHeight="1">
      <c r="A183" s="3">
        <v>182.0</v>
      </c>
      <c r="B183" s="4">
        <v>45942.74305555555</v>
      </c>
      <c r="C183" s="3" t="s">
        <v>9</v>
      </c>
      <c r="D183" s="5">
        <v>21.0</v>
      </c>
      <c r="E183" s="5">
        <v>20.2</v>
      </c>
      <c r="F183" s="6">
        <v>70.0</v>
      </c>
      <c r="G183" s="6">
        <v>1013.0</v>
      </c>
      <c r="H183" s="3" t="s">
        <v>16</v>
      </c>
      <c r="I183" s="5">
        <v>13.6</v>
      </c>
    </row>
    <row r="184" ht="15.75" customHeight="1">
      <c r="A184" s="3">
        <v>183.0</v>
      </c>
      <c r="B184" s="4">
        <v>45943.86805555555</v>
      </c>
      <c r="C184" s="3" t="s">
        <v>9</v>
      </c>
      <c r="D184" s="5">
        <v>25.1</v>
      </c>
      <c r="E184" s="5">
        <v>25.0</v>
      </c>
      <c r="F184" s="6">
        <v>68.0</v>
      </c>
      <c r="G184" s="6">
        <v>1003.0</v>
      </c>
      <c r="H184" s="3" t="s">
        <v>13</v>
      </c>
      <c r="I184" s="5">
        <v>21.7</v>
      </c>
    </row>
    <row r="185" ht="15.75" customHeight="1">
      <c r="A185" s="3">
        <v>184.0</v>
      </c>
      <c r="B185" s="4">
        <v>45944.4375</v>
      </c>
      <c r="C185" s="3" t="s">
        <v>9</v>
      </c>
      <c r="D185" s="5">
        <v>21.8</v>
      </c>
      <c r="E185" s="5">
        <v>21.2</v>
      </c>
      <c r="F185" s="6">
        <v>82.0</v>
      </c>
      <c r="G185" s="6">
        <v>1011.0</v>
      </c>
      <c r="H185" s="3" t="s">
        <v>14</v>
      </c>
      <c r="I185" s="5">
        <v>14.1</v>
      </c>
    </row>
    <row r="186" ht="15.75" customHeight="1">
      <c r="A186" s="3">
        <v>185.0</v>
      </c>
      <c r="B186" s="4">
        <v>45946.49305555555</v>
      </c>
      <c r="C186" s="3" t="s">
        <v>9</v>
      </c>
      <c r="D186" s="5">
        <v>20.3</v>
      </c>
      <c r="E186" s="5">
        <v>20.7</v>
      </c>
      <c r="F186" s="6">
        <v>77.0</v>
      </c>
      <c r="G186" s="6">
        <v>1010.0</v>
      </c>
      <c r="H186" s="3" t="s">
        <v>12</v>
      </c>
      <c r="I186" s="5">
        <v>16.8</v>
      </c>
    </row>
    <row r="187" ht="15.75" customHeight="1">
      <c r="A187" s="3">
        <v>186.0</v>
      </c>
      <c r="B187" s="4">
        <v>45947.61111111111</v>
      </c>
      <c r="C187" s="3" t="s">
        <v>9</v>
      </c>
      <c r="D187" s="5">
        <v>24.9</v>
      </c>
      <c r="E187" s="5">
        <v>24.6</v>
      </c>
      <c r="F187" s="6">
        <v>73.0</v>
      </c>
      <c r="G187" s="6">
        <v>1018.0</v>
      </c>
      <c r="H187" s="3" t="s">
        <v>10</v>
      </c>
      <c r="I187" s="5">
        <v>15.5</v>
      </c>
    </row>
    <row r="188" ht="15.75" customHeight="1">
      <c r="A188" s="3">
        <v>187.0</v>
      </c>
      <c r="B188" s="4">
        <v>45948.89583333334</v>
      </c>
      <c r="C188" s="3" t="s">
        <v>9</v>
      </c>
      <c r="D188" s="5">
        <v>19.3</v>
      </c>
      <c r="E188" s="5">
        <v>20.0</v>
      </c>
      <c r="F188" s="6">
        <v>83.0</v>
      </c>
      <c r="G188" s="6">
        <v>1011.0</v>
      </c>
      <c r="H188" s="3" t="s">
        <v>18</v>
      </c>
      <c r="I188" s="5">
        <v>23.5</v>
      </c>
    </row>
    <row r="189" ht="15.75" customHeight="1">
      <c r="A189" s="3">
        <v>188.0</v>
      </c>
      <c r="B189" s="4">
        <v>45949.82638888889</v>
      </c>
      <c r="C189" s="3" t="s">
        <v>9</v>
      </c>
      <c r="D189" s="5">
        <v>23.1</v>
      </c>
      <c r="E189" s="5">
        <v>23.0</v>
      </c>
      <c r="F189" s="6">
        <v>57.0</v>
      </c>
      <c r="G189" s="6">
        <v>1020.0</v>
      </c>
      <c r="H189" s="3" t="s">
        <v>10</v>
      </c>
      <c r="I189" s="5">
        <v>14.9</v>
      </c>
    </row>
    <row r="190" ht="15.75" customHeight="1">
      <c r="A190" s="3">
        <v>189.0</v>
      </c>
      <c r="B190" s="4">
        <v>45950.59722222222</v>
      </c>
      <c r="C190" s="3" t="s">
        <v>9</v>
      </c>
      <c r="D190" s="5">
        <v>19.8</v>
      </c>
      <c r="E190" s="5">
        <v>18.7</v>
      </c>
      <c r="F190" s="6">
        <v>54.0</v>
      </c>
      <c r="G190" s="6">
        <v>1014.0</v>
      </c>
      <c r="H190" s="3" t="s">
        <v>10</v>
      </c>
      <c r="I190" s="5">
        <v>14.9</v>
      </c>
    </row>
    <row r="191" ht="15.75" customHeight="1">
      <c r="A191" s="3">
        <v>190.0</v>
      </c>
      <c r="B191" s="4">
        <v>45951.54166666666</v>
      </c>
      <c r="C191" s="3" t="s">
        <v>9</v>
      </c>
      <c r="D191" s="5">
        <v>20.0</v>
      </c>
      <c r="E191" s="5">
        <v>20.6</v>
      </c>
      <c r="F191" s="6">
        <v>67.0</v>
      </c>
      <c r="G191" s="6">
        <v>1018.0</v>
      </c>
      <c r="H191" s="3" t="s">
        <v>10</v>
      </c>
      <c r="I191" s="5">
        <v>15.6</v>
      </c>
    </row>
    <row r="192" ht="15.75" customHeight="1">
      <c r="A192" s="3">
        <v>191.0</v>
      </c>
      <c r="B192" s="4">
        <v>45952.60416666666</v>
      </c>
      <c r="C192" s="3" t="s">
        <v>9</v>
      </c>
      <c r="D192" s="5">
        <v>20.9</v>
      </c>
      <c r="E192" s="5">
        <v>20.0</v>
      </c>
      <c r="F192" s="6">
        <v>77.0</v>
      </c>
      <c r="G192" s="6">
        <v>1014.0</v>
      </c>
      <c r="H192" s="3" t="s">
        <v>12</v>
      </c>
      <c r="I192" s="5">
        <v>22.4</v>
      </c>
    </row>
    <row r="193" ht="15.75" customHeight="1">
      <c r="A193" s="3">
        <v>192.0</v>
      </c>
      <c r="B193" s="4">
        <v>45953.5625</v>
      </c>
      <c r="C193" s="3" t="s">
        <v>9</v>
      </c>
      <c r="D193" s="5">
        <v>17.2</v>
      </c>
      <c r="E193" s="5">
        <v>18.3</v>
      </c>
      <c r="F193" s="6">
        <v>83.0</v>
      </c>
      <c r="G193" s="6">
        <v>1012.0</v>
      </c>
      <c r="H193" s="3" t="s">
        <v>17</v>
      </c>
      <c r="I193" s="5">
        <v>23.6</v>
      </c>
    </row>
    <row r="194" ht="15.75" customHeight="1">
      <c r="A194" s="3">
        <v>193.0</v>
      </c>
      <c r="B194" s="4">
        <v>45954.76388888889</v>
      </c>
      <c r="C194" s="3" t="s">
        <v>9</v>
      </c>
      <c r="D194" s="5">
        <v>20.4</v>
      </c>
      <c r="E194" s="5">
        <v>20.6</v>
      </c>
      <c r="F194" s="6">
        <v>63.0</v>
      </c>
      <c r="G194" s="6">
        <v>1017.0</v>
      </c>
      <c r="H194" s="3" t="s">
        <v>10</v>
      </c>
      <c r="I194" s="5">
        <v>16.0</v>
      </c>
    </row>
    <row r="195" ht="15.75" customHeight="1">
      <c r="A195" s="3">
        <v>194.0</v>
      </c>
      <c r="B195" s="4">
        <v>45955.27083333334</v>
      </c>
      <c r="C195" s="3" t="s">
        <v>9</v>
      </c>
      <c r="D195" s="5">
        <v>18.7</v>
      </c>
      <c r="E195" s="5">
        <v>18.5</v>
      </c>
      <c r="F195" s="6">
        <v>59.0</v>
      </c>
      <c r="G195" s="6">
        <v>1014.0</v>
      </c>
      <c r="H195" s="3" t="s">
        <v>10</v>
      </c>
      <c r="I195" s="5">
        <v>15.5</v>
      </c>
    </row>
    <row r="196" ht="15.75" customHeight="1">
      <c r="A196" s="3">
        <v>195.0</v>
      </c>
      <c r="B196" s="4">
        <v>45956.67361111111</v>
      </c>
      <c r="C196" s="3" t="s">
        <v>9</v>
      </c>
      <c r="D196" s="5">
        <v>20.6</v>
      </c>
      <c r="E196" s="5">
        <v>21.8</v>
      </c>
      <c r="F196" s="6">
        <v>63.0</v>
      </c>
      <c r="G196" s="6">
        <v>1021.0</v>
      </c>
      <c r="H196" s="3" t="s">
        <v>14</v>
      </c>
      <c r="I196" s="5">
        <v>17.7</v>
      </c>
    </row>
    <row r="197" ht="15.75" customHeight="1">
      <c r="A197" s="3">
        <v>196.0</v>
      </c>
      <c r="B197" s="4">
        <v>45957.88194444445</v>
      </c>
      <c r="C197" s="3" t="s">
        <v>9</v>
      </c>
      <c r="D197" s="5">
        <v>21.5</v>
      </c>
      <c r="E197" s="5">
        <v>21.2</v>
      </c>
      <c r="F197" s="6">
        <v>92.0</v>
      </c>
      <c r="G197" s="6">
        <v>1014.0</v>
      </c>
      <c r="H197" s="3" t="s">
        <v>14</v>
      </c>
      <c r="I197" s="5">
        <v>13.9</v>
      </c>
    </row>
    <row r="198" ht="15.75" customHeight="1">
      <c r="A198" s="3">
        <v>197.0</v>
      </c>
      <c r="B198" s="4">
        <v>45958.72222222222</v>
      </c>
      <c r="C198" s="3" t="s">
        <v>9</v>
      </c>
      <c r="D198" s="5">
        <v>22.3</v>
      </c>
      <c r="E198" s="5">
        <v>21.3</v>
      </c>
      <c r="F198" s="6">
        <v>52.0</v>
      </c>
      <c r="G198" s="6">
        <v>1015.0</v>
      </c>
      <c r="H198" s="3" t="s">
        <v>10</v>
      </c>
      <c r="I198" s="5">
        <v>14.1</v>
      </c>
    </row>
    <row r="199" ht="15.75" customHeight="1">
      <c r="A199" s="3">
        <v>198.0</v>
      </c>
      <c r="B199" s="4">
        <v>45959.68055555555</v>
      </c>
      <c r="C199" s="3" t="s">
        <v>9</v>
      </c>
      <c r="D199" s="5">
        <v>21.1</v>
      </c>
      <c r="E199" s="5">
        <v>21.5</v>
      </c>
      <c r="F199" s="6">
        <v>63.0</v>
      </c>
      <c r="G199" s="6">
        <v>1009.0</v>
      </c>
      <c r="H199" s="3" t="s">
        <v>12</v>
      </c>
      <c r="I199" s="5">
        <v>19.7</v>
      </c>
    </row>
    <row r="200" ht="15.75" customHeight="1">
      <c r="A200" s="3">
        <v>199.0</v>
      </c>
      <c r="B200" s="4">
        <v>45960.61111111111</v>
      </c>
      <c r="C200" s="3" t="s">
        <v>9</v>
      </c>
      <c r="D200" s="5">
        <v>21.0</v>
      </c>
      <c r="E200" s="5">
        <v>20.4</v>
      </c>
      <c r="F200" s="6">
        <v>64.0</v>
      </c>
      <c r="G200" s="6">
        <v>1015.0</v>
      </c>
      <c r="H200" s="3" t="s">
        <v>10</v>
      </c>
      <c r="I200" s="5">
        <v>19.7</v>
      </c>
    </row>
    <row r="201" ht="15.75" customHeight="1">
      <c r="A201" s="3">
        <v>200.0</v>
      </c>
      <c r="B201" s="4">
        <v>45961.27777777778</v>
      </c>
      <c r="C201" s="3" t="s">
        <v>9</v>
      </c>
      <c r="D201" s="5">
        <v>19.1</v>
      </c>
      <c r="E201" s="5">
        <v>18.6</v>
      </c>
      <c r="F201" s="6">
        <v>82.0</v>
      </c>
      <c r="G201" s="6">
        <v>1009.0</v>
      </c>
      <c r="H201" s="3" t="s">
        <v>12</v>
      </c>
      <c r="I201" s="5">
        <v>15.7</v>
      </c>
    </row>
    <row r="202" ht="15.75" customHeight="1">
      <c r="A202" s="3">
        <v>201.0</v>
      </c>
      <c r="B202" s="4">
        <v>45962.5</v>
      </c>
      <c r="C202" s="3" t="s">
        <v>9</v>
      </c>
      <c r="D202" s="5">
        <v>17.7</v>
      </c>
      <c r="E202" s="5">
        <v>18.6</v>
      </c>
      <c r="F202" s="6">
        <v>76.0</v>
      </c>
      <c r="G202" s="6">
        <v>1017.0</v>
      </c>
      <c r="H202" s="3" t="s">
        <v>10</v>
      </c>
      <c r="I202" s="5">
        <v>13.7</v>
      </c>
    </row>
    <row r="203" ht="15.75" customHeight="1">
      <c r="A203" s="3">
        <v>202.0</v>
      </c>
      <c r="B203" s="4">
        <v>45963.57638888889</v>
      </c>
      <c r="C203" s="3" t="s">
        <v>9</v>
      </c>
      <c r="D203" s="5">
        <v>14.9</v>
      </c>
      <c r="E203" s="5">
        <v>14.5</v>
      </c>
      <c r="F203" s="6">
        <v>70.0</v>
      </c>
      <c r="G203" s="6">
        <v>1012.0</v>
      </c>
      <c r="H203" s="3" t="s">
        <v>10</v>
      </c>
      <c r="I203" s="5">
        <v>15.0</v>
      </c>
    </row>
    <row r="204" ht="15.75" customHeight="1">
      <c r="A204" s="3">
        <v>203.0</v>
      </c>
      <c r="B204" s="4">
        <v>45964.8125</v>
      </c>
      <c r="C204" s="3" t="s">
        <v>9</v>
      </c>
      <c r="D204" s="5">
        <v>23.4</v>
      </c>
      <c r="E204" s="5">
        <v>24.1</v>
      </c>
      <c r="F204" s="6">
        <v>67.0</v>
      </c>
      <c r="G204" s="6">
        <v>1021.0</v>
      </c>
      <c r="H204" s="3" t="s">
        <v>10</v>
      </c>
      <c r="I204" s="5">
        <v>20.5</v>
      </c>
    </row>
    <row r="205" ht="15.75" customHeight="1">
      <c r="A205" s="3">
        <v>204.0</v>
      </c>
      <c r="B205" s="4">
        <v>45965.57638888889</v>
      </c>
      <c r="C205" s="3" t="s">
        <v>9</v>
      </c>
      <c r="D205" s="5">
        <v>17.3</v>
      </c>
      <c r="E205" s="5">
        <v>16.9</v>
      </c>
      <c r="F205" s="6">
        <v>70.0</v>
      </c>
      <c r="G205" s="6">
        <v>1016.0</v>
      </c>
      <c r="H205" s="3" t="s">
        <v>10</v>
      </c>
      <c r="I205" s="5">
        <v>16.1</v>
      </c>
    </row>
    <row r="206" ht="15.75" customHeight="1">
      <c r="A206" s="3">
        <v>205.0</v>
      </c>
      <c r="B206" s="4">
        <v>45966.90972222222</v>
      </c>
      <c r="C206" s="3" t="s">
        <v>9</v>
      </c>
      <c r="D206" s="5">
        <v>21.9</v>
      </c>
      <c r="E206" s="5">
        <v>23.1</v>
      </c>
      <c r="F206" s="6">
        <v>62.0</v>
      </c>
      <c r="G206" s="6">
        <v>1012.0</v>
      </c>
      <c r="H206" s="3" t="s">
        <v>16</v>
      </c>
      <c r="I206" s="5">
        <v>15.5</v>
      </c>
    </row>
    <row r="207" ht="15.75" customHeight="1">
      <c r="A207" s="3">
        <v>206.0</v>
      </c>
      <c r="B207" s="4">
        <v>45967.89583333334</v>
      </c>
      <c r="C207" s="3" t="s">
        <v>9</v>
      </c>
      <c r="D207" s="5">
        <v>19.5</v>
      </c>
      <c r="E207" s="5">
        <v>19.1</v>
      </c>
      <c r="F207" s="6">
        <v>74.0</v>
      </c>
      <c r="G207" s="6">
        <v>1010.0</v>
      </c>
      <c r="H207" s="3" t="s">
        <v>11</v>
      </c>
      <c r="I207" s="5">
        <v>27.1</v>
      </c>
    </row>
    <row r="208" ht="15.75" customHeight="1">
      <c r="A208" s="3">
        <v>207.0</v>
      </c>
      <c r="B208" s="4">
        <v>45968.25</v>
      </c>
      <c r="C208" s="3" t="s">
        <v>9</v>
      </c>
      <c r="D208" s="5">
        <v>18.3</v>
      </c>
      <c r="E208" s="5">
        <v>17.2</v>
      </c>
      <c r="F208" s="6">
        <v>60.0</v>
      </c>
      <c r="G208" s="6">
        <v>1014.0</v>
      </c>
      <c r="H208" s="3" t="s">
        <v>10</v>
      </c>
      <c r="I208" s="5">
        <v>16.7</v>
      </c>
    </row>
    <row r="209" ht="15.75" customHeight="1">
      <c r="A209" s="3">
        <v>208.0</v>
      </c>
      <c r="B209" s="4">
        <v>45970.63194444445</v>
      </c>
      <c r="C209" s="3" t="s">
        <v>9</v>
      </c>
      <c r="D209" s="5">
        <v>19.5</v>
      </c>
      <c r="E209" s="5">
        <v>20.5</v>
      </c>
      <c r="F209" s="6">
        <v>72.0</v>
      </c>
      <c r="G209" s="6">
        <v>1018.0</v>
      </c>
      <c r="H209" s="3" t="s">
        <v>10</v>
      </c>
      <c r="I209" s="5">
        <v>17.4</v>
      </c>
    </row>
    <row r="210" ht="15.75" customHeight="1">
      <c r="A210" s="3">
        <v>209.0</v>
      </c>
      <c r="B210" s="4">
        <v>45971.78472222222</v>
      </c>
      <c r="C210" s="3" t="s">
        <v>9</v>
      </c>
      <c r="D210" s="5">
        <v>20.2</v>
      </c>
      <c r="E210" s="5">
        <v>20.4</v>
      </c>
      <c r="F210" s="6">
        <v>75.0</v>
      </c>
      <c r="G210" s="6">
        <v>1009.0</v>
      </c>
      <c r="H210" s="3" t="s">
        <v>15</v>
      </c>
      <c r="I210" s="5">
        <v>19.7</v>
      </c>
    </row>
    <row r="211" ht="15.75" customHeight="1">
      <c r="A211" s="3">
        <v>210.0</v>
      </c>
      <c r="B211" s="4">
        <v>45972.55555555555</v>
      </c>
      <c r="C211" s="3" t="s">
        <v>9</v>
      </c>
      <c r="D211" s="5">
        <v>16.0</v>
      </c>
      <c r="E211" s="5">
        <v>16.3</v>
      </c>
      <c r="F211" s="6">
        <v>81.0</v>
      </c>
      <c r="G211" s="6">
        <v>1006.0</v>
      </c>
      <c r="H211" s="3" t="s">
        <v>13</v>
      </c>
      <c r="I211" s="5">
        <v>24.5</v>
      </c>
    </row>
    <row r="212" ht="15.75" customHeight="1">
      <c r="A212" s="3">
        <v>211.0</v>
      </c>
      <c r="B212" s="4">
        <v>45973.72916666666</v>
      </c>
      <c r="C212" s="3" t="s">
        <v>9</v>
      </c>
      <c r="D212" s="5">
        <v>17.5</v>
      </c>
      <c r="E212" s="5">
        <v>17.0</v>
      </c>
      <c r="F212" s="6">
        <v>62.0</v>
      </c>
      <c r="G212" s="6">
        <v>1016.0</v>
      </c>
      <c r="H212" s="3" t="s">
        <v>10</v>
      </c>
      <c r="I212" s="5">
        <v>18.8</v>
      </c>
    </row>
    <row r="213" ht="15.75" customHeight="1">
      <c r="A213" s="3">
        <v>212.0</v>
      </c>
      <c r="B213" s="4">
        <v>45974.72916666666</v>
      </c>
      <c r="C213" s="3" t="s">
        <v>9</v>
      </c>
      <c r="D213" s="5">
        <v>21.4</v>
      </c>
      <c r="E213" s="5">
        <v>20.4</v>
      </c>
      <c r="F213" s="6">
        <v>71.0</v>
      </c>
      <c r="G213" s="6">
        <v>1016.0</v>
      </c>
      <c r="H213" s="3" t="s">
        <v>16</v>
      </c>
      <c r="I213" s="5">
        <v>20.7</v>
      </c>
    </row>
    <row r="214" ht="15.75" customHeight="1">
      <c r="A214" s="3">
        <v>213.0</v>
      </c>
      <c r="B214" s="4">
        <v>45975.68055555555</v>
      </c>
      <c r="C214" s="3" t="s">
        <v>9</v>
      </c>
      <c r="D214" s="5">
        <v>20.6</v>
      </c>
      <c r="E214" s="5">
        <v>20.1</v>
      </c>
      <c r="F214" s="6">
        <v>77.0</v>
      </c>
      <c r="G214" s="6">
        <v>1011.0</v>
      </c>
      <c r="H214" s="3" t="s">
        <v>14</v>
      </c>
      <c r="I214" s="5">
        <v>15.2</v>
      </c>
    </row>
    <row r="215" ht="15.75" customHeight="1">
      <c r="A215" s="3">
        <v>214.0</v>
      </c>
      <c r="B215" s="4">
        <v>45976.84722222222</v>
      </c>
      <c r="C215" s="3" t="s">
        <v>9</v>
      </c>
      <c r="D215" s="5">
        <v>19.0</v>
      </c>
      <c r="E215" s="5">
        <v>18.1</v>
      </c>
      <c r="F215" s="6">
        <v>67.0</v>
      </c>
      <c r="G215" s="6">
        <v>1020.0</v>
      </c>
      <c r="H215" s="3" t="s">
        <v>15</v>
      </c>
      <c r="I215" s="5">
        <v>26.0</v>
      </c>
    </row>
    <row r="216" ht="15.75" customHeight="1">
      <c r="A216" s="3">
        <v>215.0</v>
      </c>
      <c r="B216" s="4">
        <v>45977.63888888889</v>
      </c>
      <c r="C216" s="3" t="s">
        <v>9</v>
      </c>
      <c r="D216" s="5">
        <v>17.1</v>
      </c>
      <c r="E216" s="5">
        <v>18.1</v>
      </c>
      <c r="F216" s="6">
        <v>70.0</v>
      </c>
      <c r="G216" s="6">
        <v>1026.0</v>
      </c>
      <c r="H216" s="3" t="s">
        <v>10</v>
      </c>
      <c r="I216" s="5">
        <v>21.8</v>
      </c>
    </row>
    <row r="217" ht="15.75" customHeight="1">
      <c r="A217" s="3">
        <v>216.0</v>
      </c>
      <c r="B217" s="4">
        <v>45978.54166666666</v>
      </c>
      <c r="C217" s="3" t="s">
        <v>9</v>
      </c>
      <c r="D217" s="5">
        <v>17.7</v>
      </c>
      <c r="E217" s="5">
        <v>18.8</v>
      </c>
      <c r="F217" s="6">
        <v>65.0</v>
      </c>
      <c r="G217" s="6">
        <v>1012.0</v>
      </c>
      <c r="H217" s="3" t="s">
        <v>15</v>
      </c>
      <c r="I217" s="5">
        <v>17.2</v>
      </c>
    </row>
    <row r="218" ht="15.75" customHeight="1">
      <c r="A218" s="3">
        <v>217.0</v>
      </c>
      <c r="B218" s="4">
        <v>45979.51388888889</v>
      </c>
      <c r="C218" s="3" t="s">
        <v>9</v>
      </c>
      <c r="D218" s="5">
        <v>10.4</v>
      </c>
      <c r="E218" s="5">
        <v>8.9</v>
      </c>
      <c r="F218" s="6">
        <v>84.0</v>
      </c>
      <c r="G218" s="6">
        <v>1010.0</v>
      </c>
      <c r="H218" s="3" t="s">
        <v>11</v>
      </c>
      <c r="I218" s="5">
        <v>24.3</v>
      </c>
    </row>
    <row r="219" ht="15.75" customHeight="1">
      <c r="A219" s="3">
        <v>218.0</v>
      </c>
      <c r="B219" s="4">
        <v>45980.40972222222</v>
      </c>
      <c r="C219" s="3" t="s">
        <v>9</v>
      </c>
      <c r="D219" s="5">
        <v>15.5</v>
      </c>
      <c r="E219" s="5">
        <v>15.6</v>
      </c>
      <c r="F219" s="6">
        <v>65.0</v>
      </c>
      <c r="G219" s="6">
        <v>1020.0</v>
      </c>
      <c r="H219" s="3" t="s">
        <v>10</v>
      </c>
      <c r="I219" s="5">
        <v>20.3</v>
      </c>
    </row>
    <row r="220" ht="15.75" customHeight="1">
      <c r="A220" s="3">
        <v>219.0</v>
      </c>
      <c r="B220" s="4">
        <v>45981.46527777778</v>
      </c>
      <c r="C220" s="3" t="s">
        <v>9</v>
      </c>
      <c r="D220" s="5">
        <v>15.7</v>
      </c>
      <c r="E220" s="5">
        <v>16.2</v>
      </c>
      <c r="F220" s="6">
        <v>82.0</v>
      </c>
      <c r="G220" s="6">
        <v>1022.0</v>
      </c>
      <c r="H220" s="3" t="s">
        <v>10</v>
      </c>
      <c r="I220" s="5">
        <v>17.5</v>
      </c>
    </row>
    <row r="221" ht="15.75" customHeight="1">
      <c r="A221" s="3">
        <v>220.0</v>
      </c>
      <c r="B221" s="4">
        <v>45982.53472222222</v>
      </c>
      <c r="C221" s="3" t="s">
        <v>9</v>
      </c>
      <c r="D221" s="5">
        <v>18.0</v>
      </c>
      <c r="E221" s="5">
        <v>18.0</v>
      </c>
      <c r="F221" s="6">
        <v>98.0</v>
      </c>
      <c r="G221" s="6">
        <v>1007.0</v>
      </c>
      <c r="H221" s="3" t="s">
        <v>15</v>
      </c>
      <c r="I221" s="5">
        <v>21.9</v>
      </c>
    </row>
    <row r="222" ht="15.75" customHeight="1">
      <c r="A222" s="3">
        <v>221.0</v>
      </c>
      <c r="B222" s="4">
        <v>45983.88888888889</v>
      </c>
      <c r="C222" s="3" t="s">
        <v>9</v>
      </c>
      <c r="D222" s="5">
        <v>20.0</v>
      </c>
      <c r="E222" s="5">
        <v>20.2</v>
      </c>
      <c r="F222" s="6">
        <v>75.0</v>
      </c>
      <c r="G222" s="6">
        <v>1012.0</v>
      </c>
      <c r="H222" s="3" t="s">
        <v>12</v>
      </c>
      <c r="I222" s="5">
        <v>19.4</v>
      </c>
    </row>
    <row r="223" ht="15.75" customHeight="1">
      <c r="A223" s="3">
        <v>222.0</v>
      </c>
      <c r="B223" s="4">
        <v>45984.625</v>
      </c>
      <c r="C223" s="3" t="s">
        <v>9</v>
      </c>
      <c r="D223" s="5">
        <v>15.6</v>
      </c>
      <c r="E223" s="5">
        <v>15.2</v>
      </c>
      <c r="F223" s="6">
        <v>68.0</v>
      </c>
      <c r="G223" s="6">
        <v>1013.0</v>
      </c>
      <c r="H223" s="3" t="s">
        <v>10</v>
      </c>
      <c r="I223" s="5">
        <v>16.5</v>
      </c>
    </row>
    <row r="224" ht="15.75" customHeight="1">
      <c r="A224" s="3">
        <v>223.0</v>
      </c>
      <c r="B224" s="4">
        <v>45985.51388888889</v>
      </c>
      <c r="C224" s="3" t="s">
        <v>9</v>
      </c>
      <c r="D224" s="5">
        <v>16.0</v>
      </c>
      <c r="E224" s="5">
        <v>17.2</v>
      </c>
      <c r="F224" s="6">
        <v>63.0</v>
      </c>
      <c r="G224" s="6">
        <v>1016.0</v>
      </c>
      <c r="H224" s="3" t="s">
        <v>10</v>
      </c>
      <c r="I224" s="5">
        <v>18.3</v>
      </c>
    </row>
    <row r="225" ht="15.75" customHeight="1">
      <c r="A225" s="3">
        <v>224.0</v>
      </c>
      <c r="B225" s="4">
        <v>45986.55555555555</v>
      </c>
      <c r="C225" s="3" t="s">
        <v>9</v>
      </c>
      <c r="D225" s="5">
        <v>11.2</v>
      </c>
      <c r="E225" s="5">
        <v>9.1</v>
      </c>
      <c r="F225" s="6">
        <v>80.0</v>
      </c>
      <c r="G225" s="6">
        <v>1008.0</v>
      </c>
      <c r="H225" s="3" t="s">
        <v>18</v>
      </c>
      <c r="I225" s="5">
        <v>32.1</v>
      </c>
    </row>
    <row r="226" ht="15.75" customHeight="1">
      <c r="A226" s="3">
        <v>225.0</v>
      </c>
      <c r="B226" s="4">
        <v>45987.47222222222</v>
      </c>
      <c r="C226" s="3" t="s">
        <v>9</v>
      </c>
      <c r="D226" s="5">
        <v>13.9</v>
      </c>
      <c r="E226" s="5">
        <v>14.3</v>
      </c>
      <c r="F226" s="6">
        <v>60.0</v>
      </c>
      <c r="G226" s="6">
        <v>1018.0</v>
      </c>
      <c r="H226" s="3" t="s">
        <v>10</v>
      </c>
      <c r="I226" s="5">
        <v>20.6</v>
      </c>
    </row>
    <row r="227" ht="15.75" customHeight="1">
      <c r="A227" s="3">
        <v>226.0</v>
      </c>
      <c r="B227" s="4">
        <v>45988.28472222222</v>
      </c>
      <c r="C227" s="3" t="s">
        <v>9</v>
      </c>
      <c r="D227" s="5">
        <v>17.8</v>
      </c>
      <c r="E227" s="5">
        <v>17.0</v>
      </c>
      <c r="F227" s="6">
        <v>82.0</v>
      </c>
      <c r="G227" s="6">
        <v>1015.0</v>
      </c>
      <c r="H227" s="3" t="s">
        <v>16</v>
      </c>
      <c r="I227" s="5">
        <v>15.0</v>
      </c>
    </row>
    <row r="228" ht="15.75" customHeight="1">
      <c r="A228" s="3">
        <v>227.0</v>
      </c>
      <c r="B228" s="4">
        <v>45989.43055555555</v>
      </c>
      <c r="C228" s="3" t="s">
        <v>9</v>
      </c>
      <c r="D228" s="5">
        <v>13.0</v>
      </c>
      <c r="E228" s="5">
        <v>12.1</v>
      </c>
      <c r="F228" s="6">
        <v>64.0</v>
      </c>
      <c r="G228" s="6">
        <v>1016.0</v>
      </c>
      <c r="H228" s="3" t="s">
        <v>10</v>
      </c>
      <c r="I228" s="5">
        <v>25.0</v>
      </c>
    </row>
    <row r="229" ht="15.75" customHeight="1">
      <c r="A229" s="3">
        <v>228.0</v>
      </c>
      <c r="B229" s="4">
        <v>45990.29166666666</v>
      </c>
      <c r="C229" s="3" t="s">
        <v>9</v>
      </c>
      <c r="D229" s="5">
        <v>12.9</v>
      </c>
      <c r="E229" s="5">
        <v>13.3</v>
      </c>
      <c r="F229" s="6">
        <v>92.0</v>
      </c>
      <c r="G229" s="6">
        <v>1010.0</v>
      </c>
      <c r="H229" s="3" t="s">
        <v>13</v>
      </c>
      <c r="I229" s="5">
        <v>19.9</v>
      </c>
    </row>
    <row r="230" ht="15.75" customHeight="1">
      <c r="A230" s="3">
        <v>229.0</v>
      </c>
      <c r="B230" s="4">
        <v>45991.65972222222</v>
      </c>
      <c r="C230" s="3" t="s">
        <v>9</v>
      </c>
      <c r="D230" s="5">
        <v>18.1</v>
      </c>
      <c r="E230" s="5">
        <v>19.2</v>
      </c>
      <c r="F230" s="6">
        <v>68.0</v>
      </c>
      <c r="G230" s="6">
        <v>1016.0</v>
      </c>
      <c r="H230" s="3" t="s">
        <v>14</v>
      </c>
      <c r="I230" s="5">
        <v>18.1</v>
      </c>
    </row>
    <row r="231" ht="15.75" customHeight="1">
      <c r="A231" s="3">
        <v>230.0</v>
      </c>
      <c r="B231" s="4">
        <v>45992.45138888889</v>
      </c>
      <c r="C231" s="3" t="s">
        <v>9</v>
      </c>
      <c r="D231" s="5">
        <v>13.0</v>
      </c>
      <c r="E231" s="5">
        <v>13.0</v>
      </c>
      <c r="F231" s="6">
        <v>79.0</v>
      </c>
      <c r="G231" s="6">
        <v>1028.0</v>
      </c>
      <c r="H231" s="3" t="s">
        <v>10</v>
      </c>
      <c r="I231" s="5">
        <v>26.5</v>
      </c>
    </row>
    <row r="232" ht="15.75" customHeight="1">
      <c r="A232" s="3">
        <v>231.0</v>
      </c>
      <c r="B232" s="4">
        <v>45993.875</v>
      </c>
      <c r="C232" s="3" t="s">
        <v>9</v>
      </c>
      <c r="D232" s="5">
        <v>15.8</v>
      </c>
      <c r="E232" s="5">
        <v>16.0</v>
      </c>
      <c r="F232" s="6">
        <v>77.0</v>
      </c>
      <c r="G232" s="6">
        <v>1021.0</v>
      </c>
      <c r="H232" s="3" t="s">
        <v>16</v>
      </c>
      <c r="I232" s="5">
        <v>19.8</v>
      </c>
    </row>
    <row r="233" ht="15.75" customHeight="1">
      <c r="A233" s="3">
        <v>232.0</v>
      </c>
      <c r="B233" s="4">
        <v>45994.27777777778</v>
      </c>
      <c r="C233" s="3" t="s">
        <v>9</v>
      </c>
      <c r="D233" s="5">
        <v>9.6</v>
      </c>
      <c r="E233" s="5">
        <v>10.7</v>
      </c>
      <c r="F233" s="6">
        <v>70.0</v>
      </c>
      <c r="G233" s="6">
        <v>1012.0</v>
      </c>
      <c r="H233" s="3" t="s">
        <v>10</v>
      </c>
      <c r="I233" s="5">
        <v>17.8</v>
      </c>
    </row>
    <row r="234" ht="15.75" customHeight="1">
      <c r="A234" s="3">
        <v>233.0</v>
      </c>
      <c r="B234" s="4">
        <v>45995.64583333334</v>
      </c>
      <c r="C234" s="3" t="s">
        <v>9</v>
      </c>
      <c r="D234" s="5">
        <v>18.9</v>
      </c>
      <c r="E234" s="5">
        <v>19.2</v>
      </c>
      <c r="F234" s="6">
        <v>95.0</v>
      </c>
      <c r="G234" s="6">
        <v>1008.0</v>
      </c>
      <c r="H234" s="3" t="s">
        <v>15</v>
      </c>
      <c r="I234" s="5">
        <v>21.9</v>
      </c>
    </row>
    <row r="235" ht="15.75" customHeight="1">
      <c r="A235" s="3">
        <v>234.0</v>
      </c>
      <c r="B235" s="4">
        <v>45996.89583333334</v>
      </c>
      <c r="C235" s="3" t="s">
        <v>9</v>
      </c>
      <c r="D235" s="5">
        <v>16.6</v>
      </c>
      <c r="E235" s="5">
        <v>17.1</v>
      </c>
      <c r="F235" s="6">
        <v>70.0</v>
      </c>
      <c r="G235" s="6">
        <v>1014.0</v>
      </c>
      <c r="H235" s="3" t="s">
        <v>10</v>
      </c>
      <c r="I235" s="5">
        <v>20.1</v>
      </c>
    </row>
    <row r="236" ht="15.75" customHeight="1">
      <c r="A236" s="3">
        <v>235.0</v>
      </c>
      <c r="B236" s="4">
        <v>45997.67361111111</v>
      </c>
      <c r="C236" s="3" t="s">
        <v>9</v>
      </c>
      <c r="D236" s="5">
        <v>18.7</v>
      </c>
      <c r="E236" s="5">
        <v>19.6</v>
      </c>
      <c r="F236" s="6">
        <v>80.0</v>
      </c>
      <c r="G236" s="6">
        <v>1023.0</v>
      </c>
      <c r="H236" s="3" t="s">
        <v>10</v>
      </c>
      <c r="I236" s="5">
        <v>16.8</v>
      </c>
    </row>
    <row r="237" ht="15.75" customHeight="1">
      <c r="A237" s="3">
        <v>236.0</v>
      </c>
      <c r="B237" s="4">
        <v>45999.30555555555</v>
      </c>
      <c r="C237" s="3" t="s">
        <v>9</v>
      </c>
      <c r="D237" s="5">
        <v>11.2</v>
      </c>
      <c r="E237" s="5">
        <v>11.4</v>
      </c>
      <c r="F237" s="6">
        <v>73.0</v>
      </c>
      <c r="G237" s="6">
        <v>1019.0</v>
      </c>
      <c r="H237" s="3" t="s">
        <v>10</v>
      </c>
      <c r="I237" s="5">
        <v>16.7</v>
      </c>
    </row>
    <row r="238" ht="15.75" customHeight="1">
      <c r="A238" s="3">
        <v>237.0</v>
      </c>
      <c r="B238" s="4">
        <v>46000.875</v>
      </c>
      <c r="C238" s="3" t="s">
        <v>9</v>
      </c>
      <c r="D238" s="5">
        <v>13.5</v>
      </c>
      <c r="E238" s="5">
        <v>14.2</v>
      </c>
      <c r="F238" s="6">
        <v>84.0</v>
      </c>
      <c r="G238" s="6">
        <v>1023.0</v>
      </c>
      <c r="H238" s="3" t="s">
        <v>13</v>
      </c>
      <c r="I238" s="5">
        <v>23.6</v>
      </c>
    </row>
    <row r="239" ht="15.75" customHeight="1">
      <c r="A239" s="3">
        <v>238.0</v>
      </c>
      <c r="B239" s="4">
        <v>46001.35416666666</v>
      </c>
      <c r="C239" s="3" t="s">
        <v>9</v>
      </c>
      <c r="D239" s="5">
        <v>11.8</v>
      </c>
      <c r="E239" s="5">
        <v>9.7</v>
      </c>
      <c r="F239" s="6">
        <v>99.0</v>
      </c>
      <c r="G239" s="6">
        <v>1013.0</v>
      </c>
      <c r="H239" s="3" t="s">
        <v>18</v>
      </c>
      <c r="I239" s="5">
        <v>29.7</v>
      </c>
    </row>
    <row r="240" ht="15.75" customHeight="1">
      <c r="A240" s="3">
        <v>239.0</v>
      </c>
      <c r="B240" s="4">
        <v>46002.875</v>
      </c>
      <c r="C240" s="3" t="s">
        <v>9</v>
      </c>
      <c r="D240" s="5">
        <v>15.7</v>
      </c>
      <c r="E240" s="5">
        <v>15.2</v>
      </c>
      <c r="F240" s="6">
        <v>70.0</v>
      </c>
      <c r="G240" s="6">
        <v>1017.0</v>
      </c>
      <c r="H240" s="3" t="s">
        <v>14</v>
      </c>
      <c r="I240" s="5">
        <v>16.9</v>
      </c>
    </row>
    <row r="241" ht="15.75" customHeight="1">
      <c r="A241" s="3">
        <v>240.0</v>
      </c>
      <c r="B241" s="4">
        <v>46003.29861111111</v>
      </c>
      <c r="C241" s="3" t="s">
        <v>9</v>
      </c>
      <c r="D241" s="5">
        <v>12.5</v>
      </c>
      <c r="E241" s="5">
        <v>12.0</v>
      </c>
      <c r="F241" s="6">
        <v>70.0</v>
      </c>
      <c r="G241" s="6">
        <v>1016.0</v>
      </c>
      <c r="H241" s="3" t="s">
        <v>10</v>
      </c>
      <c r="I241" s="5">
        <v>21.7</v>
      </c>
    </row>
    <row r="242" ht="15.75" customHeight="1">
      <c r="A242" s="3">
        <v>241.0</v>
      </c>
      <c r="B242" s="4">
        <v>46004.44444444445</v>
      </c>
      <c r="C242" s="3" t="s">
        <v>9</v>
      </c>
      <c r="D242" s="5">
        <v>11.6</v>
      </c>
      <c r="E242" s="5">
        <v>10.3</v>
      </c>
      <c r="F242" s="6">
        <v>76.0</v>
      </c>
      <c r="G242" s="6">
        <v>1011.0</v>
      </c>
      <c r="H242" s="3" t="s">
        <v>17</v>
      </c>
      <c r="I242" s="5">
        <v>20.1</v>
      </c>
    </row>
    <row r="243" ht="15.75" customHeight="1">
      <c r="A243" s="3">
        <v>242.0</v>
      </c>
      <c r="B243" s="4">
        <v>46005.625</v>
      </c>
      <c r="C243" s="3" t="s">
        <v>9</v>
      </c>
      <c r="D243" s="5">
        <v>14.1</v>
      </c>
      <c r="E243" s="5">
        <v>15.2</v>
      </c>
      <c r="F243" s="6">
        <v>86.0</v>
      </c>
      <c r="G243" s="6">
        <v>1025.0</v>
      </c>
      <c r="H243" s="3" t="s">
        <v>17</v>
      </c>
      <c r="I243" s="5">
        <v>29.1</v>
      </c>
    </row>
    <row r="244" ht="15.75" customHeight="1">
      <c r="A244" s="3">
        <v>243.0</v>
      </c>
      <c r="B244" s="4">
        <v>46006.54166666666</v>
      </c>
      <c r="C244" s="3" t="s">
        <v>9</v>
      </c>
      <c r="D244" s="5">
        <v>15.2</v>
      </c>
      <c r="E244" s="5">
        <v>15.4</v>
      </c>
      <c r="F244" s="6">
        <v>80.0</v>
      </c>
      <c r="G244" s="6">
        <v>1013.0</v>
      </c>
      <c r="H244" s="3" t="s">
        <v>16</v>
      </c>
      <c r="I244" s="5">
        <v>16.5</v>
      </c>
    </row>
    <row r="245" ht="15.75" customHeight="1">
      <c r="A245" s="3">
        <v>244.0</v>
      </c>
      <c r="B245" s="4">
        <v>46007.81944444445</v>
      </c>
      <c r="C245" s="3" t="s">
        <v>9</v>
      </c>
      <c r="D245" s="5">
        <v>15.4</v>
      </c>
      <c r="E245" s="5">
        <v>15.8</v>
      </c>
      <c r="F245" s="6">
        <v>70.0</v>
      </c>
      <c r="G245" s="6">
        <v>1015.0</v>
      </c>
      <c r="H245" s="3" t="s">
        <v>10</v>
      </c>
      <c r="I245" s="5">
        <v>17.8</v>
      </c>
    </row>
    <row r="246" ht="15.75" customHeight="1">
      <c r="A246" s="3">
        <v>245.0</v>
      </c>
      <c r="B246" s="4">
        <v>46008.56944444445</v>
      </c>
      <c r="C246" s="3" t="s">
        <v>9</v>
      </c>
      <c r="D246" s="5">
        <v>16.5</v>
      </c>
      <c r="E246" s="5">
        <v>15.8</v>
      </c>
      <c r="F246" s="6">
        <v>64.0</v>
      </c>
      <c r="G246" s="6">
        <v>1018.0</v>
      </c>
      <c r="H246" s="3" t="s">
        <v>10</v>
      </c>
      <c r="I246" s="5">
        <v>22.5</v>
      </c>
    </row>
    <row r="247" ht="15.75" customHeight="1">
      <c r="A247" s="3">
        <v>246.0</v>
      </c>
      <c r="B247" s="4">
        <v>46009.77083333334</v>
      </c>
      <c r="C247" s="3" t="s">
        <v>9</v>
      </c>
      <c r="D247" s="5">
        <v>17.0</v>
      </c>
      <c r="E247" s="5">
        <v>17.6</v>
      </c>
      <c r="F247" s="6">
        <v>84.0</v>
      </c>
      <c r="G247" s="6">
        <v>1001.0</v>
      </c>
      <c r="H247" s="3" t="s">
        <v>15</v>
      </c>
      <c r="I247" s="5">
        <v>25.9</v>
      </c>
    </row>
    <row r="248" ht="15.75" customHeight="1">
      <c r="A248" s="3">
        <v>247.0</v>
      </c>
      <c r="B248" s="4">
        <v>46010.84722222222</v>
      </c>
      <c r="C248" s="3" t="s">
        <v>9</v>
      </c>
      <c r="D248" s="5">
        <v>15.4</v>
      </c>
      <c r="E248" s="5">
        <v>15.1</v>
      </c>
      <c r="F248" s="6">
        <v>68.0</v>
      </c>
      <c r="G248" s="6">
        <v>1017.0</v>
      </c>
      <c r="H248" s="3" t="s">
        <v>14</v>
      </c>
      <c r="I248" s="5">
        <v>21.1</v>
      </c>
    </row>
    <row r="249" ht="15.75" customHeight="1">
      <c r="A249" s="3">
        <v>248.0</v>
      </c>
      <c r="B249" s="4">
        <v>46011.80555555555</v>
      </c>
      <c r="C249" s="3" t="s">
        <v>9</v>
      </c>
      <c r="D249" s="5">
        <v>16.3</v>
      </c>
      <c r="E249" s="5">
        <v>16.7</v>
      </c>
      <c r="F249" s="6">
        <v>81.0</v>
      </c>
      <c r="G249" s="6">
        <v>1017.0</v>
      </c>
      <c r="H249" s="3" t="s">
        <v>13</v>
      </c>
      <c r="I249" s="5">
        <v>25.9</v>
      </c>
    </row>
    <row r="250" ht="15.75" customHeight="1">
      <c r="A250" s="3">
        <v>249.0</v>
      </c>
      <c r="B250" s="4">
        <v>46012.31944444445</v>
      </c>
      <c r="C250" s="3" t="s">
        <v>9</v>
      </c>
      <c r="D250" s="5">
        <v>9.7</v>
      </c>
      <c r="E250" s="5">
        <v>8.4</v>
      </c>
      <c r="F250" s="6">
        <v>79.0</v>
      </c>
      <c r="G250" s="6">
        <v>1017.0</v>
      </c>
      <c r="H250" s="3" t="s">
        <v>11</v>
      </c>
      <c r="I250" s="5">
        <v>25.1</v>
      </c>
    </row>
    <row r="251" ht="15.75" customHeight="1">
      <c r="A251" s="3">
        <v>250.0</v>
      </c>
      <c r="B251" s="4">
        <v>46013.38194444445</v>
      </c>
      <c r="C251" s="3" t="s">
        <v>9</v>
      </c>
      <c r="D251" s="5">
        <v>10.6</v>
      </c>
      <c r="E251" s="5">
        <v>11.8</v>
      </c>
      <c r="F251" s="6">
        <v>87.0</v>
      </c>
      <c r="G251" s="6">
        <v>1014.0</v>
      </c>
      <c r="H251" s="3" t="s">
        <v>13</v>
      </c>
      <c r="I251" s="5">
        <v>15.7</v>
      </c>
    </row>
    <row r="252" ht="15.75" customHeight="1">
      <c r="A252" s="3">
        <v>251.0</v>
      </c>
      <c r="B252" s="4">
        <v>46014.51388888889</v>
      </c>
      <c r="C252" s="3" t="s">
        <v>9</v>
      </c>
      <c r="D252" s="5">
        <v>12.8</v>
      </c>
      <c r="E252" s="5">
        <v>13.4</v>
      </c>
      <c r="F252" s="6">
        <v>80.0</v>
      </c>
      <c r="G252" s="6">
        <v>1017.0</v>
      </c>
      <c r="H252" s="3" t="s">
        <v>12</v>
      </c>
      <c r="I252" s="5">
        <v>16.1</v>
      </c>
    </row>
    <row r="253" ht="15.75" customHeight="1">
      <c r="A253" s="3">
        <v>252.0</v>
      </c>
      <c r="B253" s="4">
        <v>46015.34027777778</v>
      </c>
      <c r="C253" s="3" t="s">
        <v>9</v>
      </c>
      <c r="D253" s="5">
        <v>11.3</v>
      </c>
      <c r="E253" s="5">
        <v>11.0</v>
      </c>
      <c r="F253" s="6">
        <v>55.0</v>
      </c>
      <c r="G253" s="6">
        <v>1017.0</v>
      </c>
      <c r="H253" s="3" t="s">
        <v>10</v>
      </c>
      <c r="I253" s="5">
        <v>19.3</v>
      </c>
    </row>
    <row r="254" ht="15.75" customHeight="1">
      <c r="A254" s="3">
        <v>253.0</v>
      </c>
      <c r="B254" s="4">
        <v>46016.54861111111</v>
      </c>
      <c r="C254" s="3" t="s">
        <v>9</v>
      </c>
      <c r="D254" s="5">
        <v>10.9</v>
      </c>
      <c r="E254" s="5">
        <v>9.5</v>
      </c>
      <c r="F254" s="6">
        <v>89.0</v>
      </c>
      <c r="G254" s="6">
        <v>1014.0</v>
      </c>
      <c r="H254" s="3" t="s">
        <v>14</v>
      </c>
      <c r="I254" s="5">
        <v>20.4</v>
      </c>
    </row>
    <row r="255" ht="15.75" customHeight="1">
      <c r="A255" s="3">
        <v>254.0</v>
      </c>
      <c r="B255" s="4">
        <v>46017.34027777778</v>
      </c>
      <c r="C255" s="3" t="s">
        <v>9</v>
      </c>
      <c r="D255" s="5">
        <v>10.9</v>
      </c>
      <c r="E255" s="5">
        <v>10.3</v>
      </c>
      <c r="F255" s="6">
        <v>98.0</v>
      </c>
      <c r="G255" s="6">
        <v>1006.0</v>
      </c>
      <c r="H255" s="3" t="s">
        <v>13</v>
      </c>
      <c r="I255" s="5">
        <v>18.1</v>
      </c>
    </row>
    <row r="256" ht="15.75" customHeight="1">
      <c r="A256" s="3">
        <v>255.0</v>
      </c>
      <c r="B256" s="4">
        <v>46018.27083333334</v>
      </c>
      <c r="C256" s="3" t="s">
        <v>9</v>
      </c>
      <c r="D256" s="5">
        <v>9.1</v>
      </c>
      <c r="E256" s="5">
        <v>8.4</v>
      </c>
      <c r="F256" s="6">
        <v>95.0</v>
      </c>
      <c r="G256" s="6">
        <v>1014.0</v>
      </c>
      <c r="H256" s="3" t="s">
        <v>13</v>
      </c>
      <c r="I256" s="5">
        <v>20.9</v>
      </c>
    </row>
    <row r="257" ht="15.75" customHeight="1">
      <c r="A257" s="3">
        <v>256.0</v>
      </c>
      <c r="B257" s="4">
        <v>46019.86805555555</v>
      </c>
      <c r="C257" s="3" t="s">
        <v>9</v>
      </c>
      <c r="D257" s="5">
        <v>12.3</v>
      </c>
      <c r="E257" s="5">
        <v>13.2</v>
      </c>
      <c r="F257" s="6">
        <v>93.0</v>
      </c>
      <c r="G257" s="6">
        <v>1015.0</v>
      </c>
      <c r="H257" s="3" t="s">
        <v>13</v>
      </c>
      <c r="I257" s="5">
        <v>16.3</v>
      </c>
    </row>
    <row r="258" ht="15.75" customHeight="1">
      <c r="A258" s="3">
        <v>257.0</v>
      </c>
      <c r="B258" s="4">
        <v>46020.88888888889</v>
      </c>
      <c r="C258" s="3" t="s">
        <v>9</v>
      </c>
      <c r="D258" s="5">
        <v>15.6</v>
      </c>
      <c r="E258" s="5">
        <v>16.8</v>
      </c>
      <c r="F258" s="6">
        <v>75.0</v>
      </c>
      <c r="G258" s="6">
        <v>1013.0</v>
      </c>
      <c r="H258" s="3" t="s">
        <v>10</v>
      </c>
      <c r="I258" s="5">
        <v>18.1</v>
      </c>
    </row>
    <row r="259" ht="15.75" customHeight="1">
      <c r="A259" s="3">
        <v>258.0</v>
      </c>
      <c r="B259" s="4">
        <v>46021.29861111111</v>
      </c>
      <c r="C259" s="3" t="s">
        <v>9</v>
      </c>
      <c r="D259" s="5">
        <v>10.9</v>
      </c>
      <c r="E259" s="5">
        <v>10.5</v>
      </c>
      <c r="F259" s="6">
        <v>96.0</v>
      </c>
      <c r="G259" s="6">
        <v>1012.0</v>
      </c>
      <c r="H259" s="3" t="s">
        <v>14</v>
      </c>
      <c r="I259" s="5">
        <v>18.8</v>
      </c>
    </row>
    <row r="260" ht="15.75" customHeight="1">
      <c r="A260" s="3">
        <v>259.0</v>
      </c>
      <c r="B260" s="4">
        <v>46022.65972222222</v>
      </c>
      <c r="C260" s="3" t="s">
        <v>9</v>
      </c>
      <c r="D260" s="5">
        <v>13.9</v>
      </c>
      <c r="E260" s="5">
        <v>14.2</v>
      </c>
      <c r="F260" s="6">
        <v>99.0</v>
      </c>
      <c r="G260" s="6">
        <v>1022.0</v>
      </c>
      <c r="H260" s="3" t="s">
        <v>19</v>
      </c>
      <c r="I260" s="5">
        <v>14.6</v>
      </c>
    </row>
    <row r="261" ht="15.75" customHeight="1">
      <c r="A261" s="3">
        <v>260.0</v>
      </c>
      <c r="B261" s="4">
        <v>46023.65972222222</v>
      </c>
      <c r="C261" s="3" t="s">
        <v>9</v>
      </c>
      <c r="D261" s="5">
        <v>12.5</v>
      </c>
      <c r="E261" s="5">
        <v>12.9</v>
      </c>
      <c r="F261" s="6">
        <v>84.0</v>
      </c>
      <c r="G261" s="6">
        <v>1011.0</v>
      </c>
      <c r="H261" s="3" t="s">
        <v>11</v>
      </c>
      <c r="I261" s="5">
        <v>25.2</v>
      </c>
    </row>
    <row r="262" ht="15.75" customHeight="1">
      <c r="A262" s="3">
        <v>261.0</v>
      </c>
      <c r="B262" s="4">
        <v>46024.83333333334</v>
      </c>
      <c r="C262" s="3" t="s">
        <v>9</v>
      </c>
      <c r="D262" s="5">
        <v>13.2</v>
      </c>
      <c r="E262" s="5">
        <v>14.2</v>
      </c>
      <c r="F262" s="6">
        <v>89.0</v>
      </c>
      <c r="G262" s="6">
        <v>1016.0</v>
      </c>
      <c r="H262" s="3" t="s">
        <v>13</v>
      </c>
      <c r="I262" s="5">
        <v>21.9</v>
      </c>
    </row>
    <row r="263" ht="15.75" customHeight="1">
      <c r="A263" s="3">
        <v>262.0</v>
      </c>
      <c r="B263" s="4">
        <v>46025.55555555555</v>
      </c>
      <c r="C263" s="3" t="s">
        <v>9</v>
      </c>
      <c r="D263" s="5">
        <v>8.0</v>
      </c>
      <c r="E263" s="5">
        <v>7.3</v>
      </c>
      <c r="F263" s="6">
        <v>74.0</v>
      </c>
      <c r="G263" s="6">
        <v>1015.0</v>
      </c>
      <c r="H263" s="3" t="s">
        <v>16</v>
      </c>
      <c r="I263" s="5">
        <v>16.4</v>
      </c>
    </row>
    <row r="264" ht="15.75" customHeight="1">
      <c r="A264" s="3">
        <v>263.0</v>
      </c>
      <c r="B264" s="4">
        <v>46026.52083333334</v>
      </c>
      <c r="C264" s="3" t="s">
        <v>9</v>
      </c>
      <c r="D264" s="5">
        <v>9.1</v>
      </c>
      <c r="E264" s="5">
        <v>9.6</v>
      </c>
      <c r="F264" s="6">
        <v>64.0</v>
      </c>
      <c r="G264" s="6">
        <v>1019.0</v>
      </c>
      <c r="H264" s="3" t="s">
        <v>10</v>
      </c>
      <c r="I264" s="5">
        <v>17.9</v>
      </c>
    </row>
    <row r="265" ht="15.75" customHeight="1">
      <c r="A265" s="3">
        <v>264.0</v>
      </c>
      <c r="B265" s="4">
        <v>46027.40277777778</v>
      </c>
      <c r="C265" s="3" t="s">
        <v>9</v>
      </c>
      <c r="D265" s="5">
        <v>7.5</v>
      </c>
      <c r="E265" s="5">
        <v>6.6</v>
      </c>
      <c r="F265" s="6">
        <v>67.0</v>
      </c>
      <c r="G265" s="6">
        <v>1021.0</v>
      </c>
      <c r="H265" s="3" t="s">
        <v>10</v>
      </c>
      <c r="I265" s="5">
        <v>24.4</v>
      </c>
    </row>
    <row r="266" ht="15.75" customHeight="1">
      <c r="A266" s="3">
        <v>265.0</v>
      </c>
      <c r="B266" s="4">
        <v>46028.57638888889</v>
      </c>
      <c r="C266" s="3" t="s">
        <v>9</v>
      </c>
      <c r="D266" s="5">
        <v>9.9</v>
      </c>
      <c r="E266" s="5">
        <v>8.3</v>
      </c>
      <c r="F266" s="6">
        <v>92.0</v>
      </c>
      <c r="G266" s="6">
        <v>1030.0</v>
      </c>
      <c r="H266" s="3" t="s">
        <v>10</v>
      </c>
      <c r="I266" s="5">
        <v>25.2</v>
      </c>
    </row>
    <row r="267" ht="15.75" customHeight="1">
      <c r="A267" s="3">
        <v>266.0</v>
      </c>
      <c r="B267" s="4">
        <v>46029.43055555555</v>
      </c>
      <c r="C267" s="3" t="s">
        <v>9</v>
      </c>
      <c r="D267" s="5">
        <v>10.5</v>
      </c>
      <c r="E267" s="5">
        <v>9.2</v>
      </c>
      <c r="F267" s="6">
        <v>94.0</v>
      </c>
      <c r="G267" s="6">
        <v>1020.0</v>
      </c>
      <c r="H267" s="3" t="s">
        <v>12</v>
      </c>
      <c r="I267" s="5">
        <v>27.1</v>
      </c>
    </row>
    <row r="268" ht="15.75" customHeight="1">
      <c r="A268" s="3">
        <v>267.0</v>
      </c>
      <c r="B268" s="4">
        <v>46030.41666666666</v>
      </c>
      <c r="C268" s="3" t="s">
        <v>9</v>
      </c>
      <c r="D268" s="5">
        <v>8.8</v>
      </c>
      <c r="E268" s="5">
        <v>7.8</v>
      </c>
      <c r="F268" s="6">
        <v>90.0</v>
      </c>
      <c r="G268" s="6">
        <v>1015.0</v>
      </c>
      <c r="H268" s="3" t="s">
        <v>17</v>
      </c>
      <c r="I268" s="5">
        <v>18.5</v>
      </c>
    </row>
    <row r="269" ht="15.75" customHeight="1">
      <c r="A269" s="3">
        <v>268.0</v>
      </c>
      <c r="B269" s="4">
        <v>46031.29861111111</v>
      </c>
      <c r="C269" s="3" t="s">
        <v>9</v>
      </c>
      <c r="D269" s="5">
        <v>13.9</v>
      </c>
      <c r="E269" s="5">
        <v>13.6</v>
      </c>
      <c r="F269" s="6">
        <v>96.0</v>
      </c>
      <c r="G269" s="6">
        <v>1010.0</v>
      </c>
      <c r="H269" s="3" t="s">
        <v>14</v>
      </c>
      <c r="I269" s="5">
        <v>19.0</v>
      </c>
    </row>
    <row r="270" ht="15.75" customHeight="1">
      <c r="A270" s="3">
        <v>269.0</v>
      </c>
      <c r="B270" s="4">
        <v>46032.65277777778</v>
      </c>
      <c r="C270" s="3" t="s">
        <v>9</v>
      </c>
      <c r="D270" s="5">
        <v>10.8</v>
      </c>
      <c r="E270" s="5">
        <v>9.9</v>
      </c>
      <c r="F270" s="6">
        <v>93.0</v>
      </c>
      <c r="G270" s="6">
        <v>1016.0</v>
      </c>
      <c r="H270" s="3" t="s">
        <v>15</v>
      </c>
      <c r="I270" s="5">
        <v>18.8</v>
      </c>
    </row>
    <row r="271" ht="15.75" customHeight="1">
      <c r="A271" s="3">
        <v>270.0</v>
      </c>
      <c r="B271" s="4">
        <v>46033.64583333334</v>
      </c>
      <c r="C271" s="3" t="s">
        <v>9</v>
      </c>
      <c r="D271" s="5">
        <v>13.2</v>
      </c>
      <c r="E271" s="5">
        <v>13.2</v>
      </c>
      <c r="F271" s="6">
        <v>92.0</v>
      </c>
      <c r="G271" s="6">
        <v>1021.0</v>
      </c>
      <c r="H271" s="3" t="s">
        <v>14</v>
      </c>
      <c r="I271" s="5">
        <v>19.4</v>
      </c>
    </row>
    <row r="272" ht="15.75" customHeight="1">
      <c r="A272" s="3">
        <v>271.0</v>
      </c>
      <c r="B272" s="4">
        <v>46034.39583333334</v>
      </c>
      <c r="C272" s="3" t="s">
        <v>9</v>
      </c>
      <c r="D272" s="5">
        <v>9.5</v>
      </c>
      <c r="E272" s="5">
        <v>7.9</v>
      </c>
      <c r="F272" s="6">
        <v>71.0</v>
      </c>
      <c r="G272" s="6">
        <v>1011.0</v>
      </c>
      <c r="H272" s="3" t="s">
        <v>16</v>
      </c>
      <c r="I272" s="5">
        <v>18.4</v>
      </c>
    </row>
    <row r="273" ht="15.75" customHeight="1">
      <c r="A273" s="3">
        <v>272.0</v>
      </c>
      <c r="B273" s="4">
        <v>46035.65972222222</v>
      </c>
      <c r="C273" s="3" t="s">
        <v>9</v>
      </c>
      <c r="D273" s="5">
        <v>12.0</v>
      </c>
      <c r="E273" s="5">
        <v>11.0</v>
      </c>
      <c r="F273" s="6">
        <v>75.0</v>
      </c>
      <c r="G273" s="6">
        <v>1030.0</v>
      </c>
      <c r="H273" s="3" t="s">
        <v>10</v>
      </c>
      <c r="I273" s="5">
        <v>33.9</v>
      </c>
    </row>
    <row r="274" ht="15.75" customHeight="1">
      <c r="A274" s="3">
        <v>273.0</v>
      </c>
      <c r="B274" s="4">
        <v>46036.76388888889</v>
      </c>
      <c r="C274" s="3" t="s">
        <v>9</v>
      </c>
      <c r="D274" s="5">
        <v>14.9</v>
      </c>
      <c r="E274" s="5">
        <v>14.2</v>
      </c>
      <c r="F274" s="6">
        <v>75.0</v>
      </c>
      <c r="G274" s="6">
        <v>1020.0</v>
      </c>
      <c r="H274" s="3" t="s">
        <v>10</v>
      </c>
      <c r="I274" s="5">
        <v>17.3</v>
      </c>
    </row>
    <row r="275" ht="15.75" customHeight="1">
      <c r="A275" s="3">
        <v>274.0</v>
      </c>
      <c r="B275" s="4">
        <v>46037.89583333334</v>
      </c>
      <c r="C275" s="3" t="s">
        <v>9</v>
      </c>
      <c r="D275" s="5">
        <v>14.3</v>
      </c>
      <c r="E275" s="5">
        <v>14.4</v>
      </c>
      <c r="F275" s="6">
        <v>75.0</v>
      </c>
      <c r="G275" s="6">
        <v>1012.0</v>
      </c>
      <c r="H275" s="3" t="s">
        <v>10</v>
      </c>
      <c r="I275" s="5">
        <v>24.8</v>
      </c>
    </row>
    <row r="276" ht="15.75" customHeight="1">
      <c r="A276" s="3">
        <v>275.0</v>
      </c>
      <c r="B276" s="4">
        <v>46038.36111111111</v>
      </c>
      <c r="C276" s="3" t="s">
        <v>9</v>
      </c>
      <c r="D276" s="5">
        <v>9.1</v>
      </c>
      <c r="E276" s="5">
        <v>7.1</v>
      </c>
      <c r="F276" s="6">
        <v>94.0</v>
      </c>
      <c r="G276" s="6">
        <v>1013.0</v>
      </c>
      <c r="H276" s="3" t="s">
        <v>15</v>
      </c>
      <c r="I276" s="5">
        <v>21.7</v>
      </c>
    </row>
    <row r="277" ht="15.75" customHeight="1">
      <c r="A277" s="3">
        <v>276.0</v>
      </c>
      <c r="B277" s="4">
        <v>46039.3125</v>
      </c>
      <c r="C277" s="3" t="s">
        <v>9</v>
      </c>
      <c r="D277" s="5">
        <v>9.7</v>
      </c>
      <c r="E277" s="5">
        <v>8.4</v>
      </c>
      <c r="F277" s="6">
        <v>93.0</v>
      </c>
      <c r="G277" s="6">
        <v>1007.0</v>
      </c>
      <c r="H277" s="3" t="s">
        <v>15</v>
      </c>
      <c r="I277" s="5">
        <v>18.4</v>
      </c>
    </row>
    <row r="278" ht="15.75" customHeight="1">
      <c r="A278" s="3">
        <v>277.0</v>
      </c>
      <c r="B278" s="4">
        <v>46040.69444444445</v>
      </c>
      <c r="C278" s="3" t="s">
        <v>9</v>
      </c>
      <c r="D278" s="5">
        <v>13.1</v>
      </c>
      <c r="E278" s="5">
        <v>12.9</v>
      </c>
      <c r="F278" s="6">
        <v>69.0</v>
      </c>
      <c r="G278" s="6">
        <v>1019.0</v>
      </c>
      <c r="H278" s="3" t="s">
        <v>10</v>
      </c>
      <c r="I278" s="5">
        <v>18.3</v>
      </c>
    </row>
    <row r="279" ht="15.75" customHeight="1">
      <c r="A279" s="3">
        <v>278.0</v>
      </c>
      <c r="B279" s="4">
        <v>46041.58333333334</v>
      </c>
      <c r="C279" s="3" t="s">
        <v>9</v>
      </c>
      <c r="D279" s="5">
        <v>9.4</v>
      </c>
      <c r="E279" s="5">
        <v>8.6</v>
      </c>
      <c r="F279" s="6">
        <v>99.0</v>
      </c>
      <c r="G279" s="6">
        <v>1010.0</v>
      </c>
      <c r="H279" s="3" t="s">
        <v>11</v>
      </c>
      <c r="I279" s="5">
        <v>25.4</v>
      </c>
    </row>
    <row r="280" ht="15.75" customHeight="1">
      <c r="A280" s="3">
        <v>279.0</v>
      </c>
      <c r="B280" s="4">
        <v>46042.34027777778</v>
      </c>
      <c r="C280" s="3" t="s">
        <v>9</v>
      </c>
      <c r="D280" s="5">
        <v>12.7</v>
      </c>
      <c r="E280" s="5">
        <v>13.7</v>
      </c>
      <c r="F280" s="6">
        <v>67.0</v>
      </c>
      <c r="G280" s="6">
        <v>1020.0</v>
      </c>
      <c r="H280" s="3" t="s">
        <v>10</v>
      </c>
      <c r="I280" s="5">
        <v>26.9</v>
      </c>
    </row>
    <row r="281" ht="15.75" customHeight="1">
      <c r="A281" s="3">
        <v>280.0</v>
      </c>
      <c r="B281" s="4">
        <v>46043.28472222222</v>
      </c>
      <c r="C281" s="3" t="s">
        <v>9</v>
      </c>
      <c r="D281" s="5">
        <v>9.0</v>
      </c>
      <c r="E281" s="5">
        <v>8.6</v>
      </c>
      <c r="F281" s="6">
        <v>82.0</v>
      </c>
      <c r="G281" s="6">
        <v>1011.0</v>
      </c>
      <c r="H281" s="3" t="s">
        <v>15</v>
      </c>
      <c r="I281" s="5">
        <v>18.1</v>
      </c>
    </row>
    <row r="282" ht="15.75" customHeight="1">
      <c r="A282" s="3">
        <v>281.0</v>
      </c>
      <c r="B282" s="4">
        <v>46044.61111111111</v>
      </c>
      <c r="C282" s="3" t="s">
        <v>9</v>
      </c>
      <c r="D282" s="5">
        <v>13.9</v>
      </c>
      <c r="E282" s="5">
        <v>14.0</v>
      </c>
      <c r="F282" s="6">
        <v>59.0</v>
      </c>
      <c r="G282" s="6">
        <v>1019.0</v>
      </c>
      <c r="H282" s="3" t="s">
        <v>10</v>
      </c>
      <c r="I282" s="5">
        <v>21.7</v>
      </c>
    </row>
    <row r="283" ht="15.75" customHeight="1">
      <c r="A283" s="3">
        <v>282.0</v>
      </c>
      <c r="B283" s="4">
        <v>46045.29861111111</v>
      </c>
      <c r="C283" s="3" t="s">
        <v>9</v>
      </c>
      <c r="D283" s="5">
        <v>6.9</v>
      </c>
      <c r="E283" s="5">
        <v>4.5</v>
      </c>
      <c r="F283" s="6">
        <v>99.0</v>
      </c>
      <c r="G283" s="6">
        <v>1017.0</v>
      </c>
      <c r="H283" s="3" t="s">
        <v>11</v>
      </c>
      <c r="I283" s="5">
        <v>26.7</v>
      </c>
    </row>
    <row r="284" ht="15.75" customHeight="1">
      <c r="A284" s="3">
        <v>283.0</v>
      </c>
      <c r="B284" s="4">
        <v>46046.90277777778</v>
      </c>
      <c r="C284" s="3" t="s">
        <v>9</v>
      </c>
      <c r="D284" s="5">
        <v>12.9</v>
      </c>
      <c r="E284" s="5">
        <v>13.2</v>
      </c>
      <c r="F284" s="6">
        <v>74.0</v>
      </c>
      <c r="G284" s="6">
        <v>1009.0</v>
      </c>
      <c r="H284" s="3" t="s">
        <v>16</v>
      </c>
      <c r="I284" s="5">
        <v>24.8</v>
      </c>
    </row>
    <row r="285" ht="15.75" customHeight="1">
      <c r="A285" s="3">
        <v>284.0</v>
      </c>
      <c r="B285" s="4">
        <v>46047.84722222222</v>
      </c>
      <c r="C285" s="3" t="s">
        <v>9</v>
      </c>
      <c r="D285" s="5">
        <v>15.2</v>
      </c>
      <c r="E285" s="5">
        <v>14.5</v>
      </c>
      <c r="F285" s="6">
        <v>73.0</v>
      </c>
      <c r="G285" s="6">
        <v>1019.0</v>
      </c>
      <c r="H285" s="3" t="s">
        <v>17</v>
      </c>
      <c r="I285" s="5">
        <v>22.7</v>
      </c>
    </row>
    <row r="286" ht="15.75" customHeight="1">
      <c r="A286" s="3">
        <v>285.0</v>
      </c>
      <c r="B286" s="4">
        <v>46048.48611111111</v>
      </c>
      <c r="C286" s="3" t="s">
        <v>9</v>
      </c>
      <c r="D286" s="5">
        <v>9.0</v>
      </c>
      <c r="E286" s="5">
        <v>7.1</v>
      </c>
      <c r="F286" s="6">
        <v>80.0</v>
      </c>
      <c r="G286" s="6">
        <v>1019.0</v>
      </c>
      <c r="H286" s="3" t="s">
        <v>16</v>
      </c>
      <c r="I286" s="5">
        <v>20.6</v>
      </c>
    </row>
    <row r="287" ht="15.75" customHeight="1">
      <c r="A287" s="3">
        <v>286.0</v>
      </c>
      <c r="B287" s="4">
        <v>46049.82638888889</v>
      </c>
      <c r="C287" s="3" t="s">
        <v>9</v>
      </c>
      <c r="D287" s="5">
        <v>14.5</v>
      </c>
      <c r="E287" s="5">
        <v>15.6</v>
      </c>
      <c r="F287" s="6">
        <v>96.0</v>
      </c>
      <c r="G287" s="6">
        <v>1019.0</v>
      </c>
      <c r="H287" s="3" t="s">
        <v>19</v>
      </c>
      <c r="I287" s="5">
        <v>17.0</v>
      </c>
    </row>
    <row r="288" ht="15.75" customHeight="1">
      <c r="A288" s="3">
        <v>287.0</v>
      </c>
      <c r="B288" s="4">
        <v>46050.875</v>
      </c>
      <c r="C288" s="3" t="s">
        <v>9</v>
      </c>
      <c r="D288" s="5">
        <v>12.0</v>
      </c>
      <c r="E288" s="5">
        <v>12.2</v>
      </c>
      <c r="F288" s="6">
        <v>86.0</v>
      </c>
      <c r="G288" s="6">
        <v>1020.0</v>
      </c>
      <c r="H288" s="3" t="s">
        <v>16</v>
      </c>
      <c r="I288" s="5">
        <v>18.4</v>
      </c>
    </row>
    <row r="289" ht="15.75" customHeight="1">
      <c r="A289" s="3">
        <v>288.0</v>
      </c>
      <c r="B289" s="4">
        <v>46051.88888888889</v>
      </c>
      <c r="C289" s="3" t="s">
        <v>9</v>
      </c>
      <c r="D289" s="5">
        <v>14.0</v>
      </c>
      <c r="E289" s="5">
        <v>14.6</v>
      </c>
      <c r="F289" s="6">
        <v>81.0</v>
      </c>
      <c r="G289" s="6">
        <v>1023.0</v>
      </c>
      <c r="H289" s="3" t="s">
        <v>14</v>
      </c>
      <c r="I289" s="5">
        <v>22.7</v>
      </c>
    </row>
    <row r="290" ht="15.75" customHeight="1">
      <c r="A290" s="3">
        <v>289.0</v>
      </c>
      <c r="B290" s="4">
        <v>46052.80555555555</v>
      </c>
      <c r="C290" s="3" t="s">
        <v>9</v>
      </c>
      <c r="D290" s="5">
        <v>14.9</v>
      </c>
      <c r="E290" s="5">
        <v>14.3</v>
      </c>
      <c r="F290" s="6">
        <v>75.0</v>
      </c>
      <c r="G290" s="6">
        <v>1015.0</v>
      </c>
      <c r="H290" s="3" t="s">
        <v>10</v>
      </c>
      <c r="I290" s="5">
        <v>20.5</v>
      </c>
    </row>
    <row r="291" ht="15.75" customHeight="1">
      <c r="A291" s="3">
        <v>290.0</v>
      </c>
      <c r="B291" s="4">
        <v>46053.70138888889</v>
      </c>
      <c r="C291" s="3" t="s">
        <v>9</v>
      </c>
      <c r="D291" s="5">
        <v>11.0</v>
      </c>
      <c r="E291" s="5">
        <v>9.2</v>
      </c>
      <c r="F291" s="6">
        <v>81.0</v>
      </c>
      <c r="G291" s="6">
        <v>1020.0</v>
      </c>
      <c r="H291" s="3" t="s">
        <v>16</v>
      </c>
      <c r="I291" s="5">
        <v>20.7</v>
      </c>
    </row>
    <row r="292" ht="15.75" customHeight="1">
      <c r="A292" s="3">
        <v>291.0</v>
      </c>
      <c r="B292" s="4">
        <v>46054.38194444445</v>
      </c>
      <c r="C292" s="3" t="s">
        <v>9</v>
      </c>
      <c r="D292" s="5">
        <v>10.4</v>
      </c>
      <c r="E292" s="5">
        <v>9.4</v>
      </c>
      <c r="F292" s="6">
        <v>99.0</v>
      </c>
      <c r="G292" s="6">
        <v>1016.0</v>
      </c>
      <c r="H292" s="3" t="s">
        <v>19</v>
      </c>
      <c r="I292" s="5">
        <v>18.9</v>
      </c>
    </row>
    <row r="293" ht="15.75" customHeight="1">
      <c r="A293" s="3">
        <v>292.0</v>
      </c>
      <c r="B293" s="4">
        <v>46055.6875</v>
      </c>
      <c r="C293" s="3" t="s">
        <v>9</v>
      </c>
      <c r="D293" s="5">
        <v>12.2</v>
      </c>
      <c r="E293" s="5">
        <v>13.0</v>
      </c>
      <c r="F293" s="6">
        <v>76.0</v>
      </c>
      <c r="G293" s="6">
        <v>1019.0</v>
      </c>
      <c r="H293" s="3" t="s">
        <v>12</v>
      </c>
      <c r="I293" s="5">
        <v>17.2</v>
      </c>
    </row>
    <row r="294" ht="15.75" customHeight="1">
      <c r="A294" s="3">
        <v>293.0</v>
      </c>
      <c r="B294" s="4">
        <v>46056.88888888889</v>
      </c>
      <c r="C294" s="3" t="s">
        <v>9</v>
      </c>
      <c r="D294" s="5">
        <v>12.3</v>
      </c>
      <c r="E294" s="5">
        <v>11.9</v>
      </c>
      <c r="F294" s="6">
        <v>86.0</v>
      </c>
      <c r="G294" s="6">
        <v>1016.0</v>
      </c>
      <c r="H294" s="3" t="s">
        <v>10</v>
      </c>
      <c r="I294" s="5">
        <v>17.7</v>
      </c>
    </row>
    <row r="295" ht="15.75" customHeight="1">
      <c r="A295" s="3">
        <v>294.0</v>
      </c>
      <c r="B295" s="4">
        <v>46057.77777777778</v>
      </c>
      <c r="C295" s="3" t="s">
        <v>9</v>
      </c>
      <c r="D295" s="5">
        <v>12.5</v>
      </c>
      <c r="E295" s="5">
        <v>12.0</v>
      </c>
      <c r="F295" s="6">
        <v>74.0</v>
      </c>
      <c r="G295" s="6">
        <v>1016.0</v>
      </c>
      <c r="H295" s="3" t="s">
        <v>12</v>
      </c>
      <c r="I295" s="5">
        <v>16.4</v>
      </c>
    </row>
    <row r="296" ht="15.75" customHeight="1">
      <c r="A296" s="3">
        <v>295.0</v>
      </c>
      <c r="B296" s="4">
        <v>46058.3125</v>
      </c>
      <c r="C296" s="3" t="s">
        <v>9</v>
      </c>
      <c r="D296" s="5">
        <v>9.6</v>
      </c>
      <c r="E296" s="5">
        <v>7.7</v>
      </c>
      <c r="F296" s="6">
        <v>73.0</v>
      </c>
      <c r="G296" s="6">
        <v>1026.0</v>
      </c>
      <c r="H296" s="3" t="s">
        <v>16</v>
      </c>
      <c r="I296" s="5">
        <v>24.3</v>
      </c>
    </row>
    <row r="297" ht="15.75" customHeight="1">
      <c r="A297" s="3">
        <v>296.0</v>
      </c>
      <c r="B297" s="4">
        <v>46059.34722222222</v>
      </c>
      <c r="C297" s="3" t="s">
        <v>9</v>
      </c>
      <c r="D297" s="5">
        <v>10.1</v>
      </c>
      <c r="E297" s="5">
        <v>8.2</v>
      </c>
      <c r="F297" s="6">
        <v>73.0</v>
      </c>
      <c r="G297" s="6">
        <v>1023.0</v>
      </c>
      <c r="H297" s="3" t="s">
        <v>10</v>
      </c>
      <c r="I297" s="5">
        <v>19.5</v>
      </c>
    </row>
    <row r="298" ht="15.75" customHeight="1">
      <c r="A298" s="3">
        <v>297.0</v>
      </c>
      <c r="B298" s="4">
        <v>46060.59722222222</v>
      </c>
      <c r="C298" s="3" t="s">
        <v>9</v>
      </c>
      <c r="D298" s="5">
        <v>11.8</v>
      </c>
      <c r="E298" s="5">
        <v>10.7</v>
      </c>
      <c r="F298" s="6">
        <v>61.0</v>
      </c>
      <c r="G298" s="6">
        <v>1023.0</v>
      </c>
      <c r="H298" s="3" t="s">
        <v>10</v>
      </c>
      <c r="I298" s="5">
        <v>25.9</v>
      </c>
    </row>
    <row r="299" ht="15.75" customHeight="1">
      <c r="A299" s="3">
        <v>298.0</v>
      </c>
      <c r="B299" s="4">
        <v>46061.39583333334</v>
      </c>
      <c r="C299" s="3" t="s">
        <v>9</v>
      </c>
      <c r="D299" s="5">
        <v>8.2</v>
      </c>
      <c r="E299" s="5">
        <v>7.1</v>
      </c>
      <c r="F299" s="6">
        <v>89.0</v>
      </c>
      <c r="G299" s="6">
        <v>1016.0</v>
      </c>
      <c r="H299" s="3" t="s">
        <v>15</v>
      </c>
      <c r="I299" s="5">
        <v>19.7</v>
      </c>
    </row>
    <row r="300" ht="15.75" customHeight="1">
      <c r="A300" s="3">
        <v>299.0</v>
      </c>
      <c r="B300" s="4">
        <v>46062.28472222222</v>
      </c>
      <c r="C300" s="3" t="s">
        <v>9</v>
      </c>
      <c r="D300" s="5">
        <v>8.5</v>
      </c>
      <c r="E300" s="5">
        <v>7.5</v>
      </c>
      <c r="F300" s="6">
        <v>90.0</v>
      </c>
      <c r="G300" s="6">
        <v>1024.0</v>
      </c>
      <c r="H300" s="3" t="s">
        <v>12</v>
      </c>
      <c r="I300" s="5">
        <v>24.5</v>
      </c>
    </row>
    <row r="301" ht="15.75" customHeight="1">
      <c r="A301" s="3">
        <v>300.0</v>
      </c>
      <c r="B301" s="4">
        <v>46063.85416666666</v>
      </c>
      <c r="C301" s="3" t="s">
        <v>9</v>
      </c>
      <c r="D301" s="5">
        <v>11.6</v>
      </c>
      <c r="E301" s="5">
        <v>9.6</v>
      </c>
      <c r="F301" s="6">
        <v>99.0</v>
      </c>
      <c r="G301" s="6">
        <v>1009.0</v>
      </c>
      <c r="H301" s="3" t="s">
        <v>11</v>
      </c>
      <c r="I301" s="5">
        <v>21.8</v>
      </c>
    </row>
    <row r="302" ht="15.75" customHeight="1">
      <c r="A302" s="3">
        <v>301.0</v>
      </c>
      <c r="B302" s="4">
        <v>46064.29861111111</v>
      </c>
      <c r="C302" s="3" t="s">
        <v>9</v>
      </c>
      <c r="D302" s="5">
        <v>12.5</v>
      </c>
      <c r="E302" s="5">
        <v>11.9</v>
      </c>
      <c r="F302" s="6">
        <v>78.0</v>
      </c>
      <c r="G302" s="6">
        <v>1013.0</v>
      </c>
      <c r="H302" s="3" t="s">
        <v>10</v>
      </c>
      <c r="I302" s="5">
        <v>20.7</v>
      </c>
    </row>
    <row r="303" ht="15.75" customHeight="1">
      <c r="A303" s="3">
        <v>302.0</v>
      </c>
      <c r="B303" s="4">
        <v>46065.73611111111</v>
      </c>
      <c r="C303" s="3" t="s">
        <v>9</v>
      </c>
      <c r="D303" s="5">
        <v>12.3</v>
      </c>
      <c r="E303" s="5">
        <v>12.0</v>
      </c>
      <c r="F303" s="6">
        <v>81.0</v>
      </c>
      <c r="G303" s="6">
        <v>1014.0</v>
      </c>
      <c r="H303" s="3" t="s">
        <v>12</v>
      </c>
      <c r="I303" s="5">
        <v>18.9</v>
      </c>
    </row>
    <row r="304" ht="15.75" customHeight="1">
      <c r="A304" s="3">
        <v>303.0</v>
      </c>
      <c r="B304" s="4">
        <v>46066.90972222222</v>
      </c>
      <c r="C304" s="3" t="s">
        <v>9</v>
      </c>
      <c r="D304" s="5">
        <v>14.2</v>
      </c>
      <c r="E304" s="5">
        <v>15.3</v>
      </c>
      <c r="F304" s="6">
        <v>79.0</v>
      </c>
      <c r="G304" s="6">
        <v>1011.0</v>
      </c>
      <c r="H304" s="3" t="s">
        <v>18</v>
      </c>
      <c r="I304" s="5">
        <v>27.6</v>
      </c>
    </row>
    <row r="305" ht="15.75" customHeight="1">
      <c r="A305" s="3">
        <v>304.0</v>
      </c>
      <c r="B305" s="4">
        <v>46067.83333333334</v>
      </c>
      <c r="C305" s="3" t="s">
        <v>9</v>
      </c>
      <c r="D305" s="5">
        <v>16.1</v>
      </c>
      <c r="E305" s="5">
        <v>16.0</v>
      </c>
      <c r="F305" s="6">
        <v>87.0</v>
      </c>
      <c r="G305" s="6">
        <v>1016.0</v>
      </c>
      <c r="H305" s="3" t="s">
        <v>17</v>
      </c>
      <c r="I305" s="5">
        <v>16.8</v>
      </c>
    </row>
    <row r="306" ht="15.75" customHeight="1">
      <c r="A306" s="3">
        <v>305.0</v>
      </c>
      <c r="B306" s="4">
        <v>46068.51388888889</v>
      </c>
      <c r="C306" s="3" t="s">
        <v>9</v>
      </c>
      <c r="D306" s="5">
        <v>8.9</v>
      </c>
      <c r="E306" s="5">
        <v>8.0</v>
      </c>
      <c r="F306" s="6">
        <v>85.0</v>
      </c>
      <c r="G306" s="6">
        <v>1020.0</v>
      </c>
      <c r="H306" s="3" t="s">
        <v>10</v>
      </c>
      <c r="I306" s="5">
        <v>19.8</v>
      </c>
    </row>
    <row r="307" ht="15.75" customHeight="1">
      <c r="A307" s="3">
        <v>306.0</v>
      </c>
      <c r="B307" s="4">
        <v>46069.43055555555</v>
      </c>
      <c r="C307" s="3" t="s">
        <v>9</v>
      </c>
      <c r="D307" s="5">
        <v>9.2</v>
      </c>
      <c r="E307" s="5">
        <v>8.7</v>
      </c>
      <c r="F307" s="6">
        <v>86.0</v>
      </c>
      <c r="G307" s="6">
        <v>1020.0</v>
      </c>
      <c r="H307" s="3" t="s">
        <v>13</v>
      </c>
      <c r="I307" s="5">
        <v>19.1</v>
      </c>
    </row>
    <row r="308" ht="15.75" customHeight="1">
      <c r="A308" s="3">
        <v>307.0</v>
      </c>
      <c r="B308" s="4">
        <v>46070.86805555555</v>
      </c>
      <c r="C308" s="3" t="s">
        <v>9</v>
      </c>
      <c r="D308" s="5">
        <v>14.5</v>
      </c>
      <c r="E308" s="5">
        <v>14.4</v>
      </c>
      <c r="F308" s="6">
        <v>70.0</v>
      </c>
      <c r="G308" s="6">
        <v>1018.0</v>
      </c>
      <c r="H308" s="3" t="s">
        <v>10</v>
      </c>
      <c r="I308" s="5">
        <v>20.0</v>
      </c>
    </row>
    <row r="309" ht="15.75" customHeight="1">
      <c r="A309" s="3">
        <v>308.0</v>
      </c>
      <c r="B309" s="4">
        <v>46072.875</v>
      </c>
      <c r="C309" s="3" t="s">
        <v>9</v>
      </c>
      <c r="D309" s="5">
        <v>16.5</v>
      </c>
      <c r="E309" s="5">
        <v>16.5</v>
      </c>
      <c r="F309" s="6">
        <v>76.0</v>
      </c>
      <c r="G309" s="6">
        <v>1020.0</v>
      </c>
      <c r="H309" s="3" t="s">
        <v>10</v>
      </c>
      <c r="I309" s="5">
        <v>23.5</v>
      </c>
    </row>
    <row r="310" ht="15.75" customHeight="1">
      <c r="A310" s="3">
        <v>309.0</v>
      </c>
      <c r="B310" s="4">
        <v>46073.28472222222</v>
      </c>
      <c r="C310" s="3" t="s">
        <v>9</v>
      </c>
      <c r="D310" s="5">
        <v>9.8</v>
      </c>
      <c r="E310" s="5">
        <v>9.1</v>
      </c>
      <c r="F310" s="6">
        <v>88.0</v>
      </c>
      <c r="G310" s="6">
        <v>1024.0</v>
      </c>
      <c r="H310" s="3" t="s">
        <v>17</v>
      </c>
      <c r="I310" s="5">
        <v>24.8</v>
      </c>
    </row>
    <row r="311" ht="15.75" customHeight="1">
      <c r="A311" s="3">
        <v>310.0</v>
      </c>
      <c r="B311" s="4">
        <v>46074.57638888889</v>
      </c>
      <c r="C311" s="3" t="s">
        <v>9</v>
      </c>
      <c r="D311" s="5">
        <v>11.5</v>
      </c>
      <c r="E311" s="5">
        <v>11.9</v>
      </c>
      <c r="F311" s="6">
        <v>98.0</v>
      </c>
      <c r="G311" s="6">
        <v>1017.0</v>
      </c>
      <c r="H311" s="3" t="s">
        <v>19</v>
      </c>
      <c r="I311" s="5">
        <v>14.9</v>
      </c>
    </row>
    <row r="312" ht="15.75" customHeight="1">
      <c r="A312" s="3">
        <v>311.0</v>
      </c>
      <c r="B312" s="4">
        <v>46075.47222222222</v>
      </c>
      <c r="C312" s="3" t="s">
        <v>9</v>
      </c>
      <c r="D312" s="5">
        <v>12.2</v>
      </c>
      <c r="E312" s="5">
        <v>11.6</v>
      </c>
      <c r="F312" s="6">
        <v>67.0</v>
      </c>
      <c r="G312" s="6">
        <v>1014.0</v>
      </c>
      <c r="H312" s="3" t="s">
        <v>16</v>
      </c>
      <c r="I312" s="5">
        <v>19.7</v>
      </c>
    </row>
    <row r="313" ht="15.75" customHeight="1">
      <c r="A313" s="3">
        <v>312.0</v>
      </c>
      <c r="B313" s="4">
        <v>46076.27777777778</v>
      </c>
      <c r="C313" s="3" t="s">
        <v>9</v>
      </c>
      <c r="D313" s="5">
        <v>11.9</v>
      </c>
      <c r="E313" s="5">
        <v>10.8</v>
      </c>
      <c r="F313" s="6">
        <v>89.0</v>
      </c>
      <c r="G313" s="6">
        <v>1022.0</v>
      </c>
      <c r="H313" s="3" t="s">
        <v>12</v>
      </c>
      <c r="I313" s="5">
        <v>22.0</v>
      </c>
    </row>
    <row r="314" ht="15.75" customHeight="1">
      <c r="A314" s="3">
        <v>313.0</v>
      </c>
      <c r="B314" s="4">
        <v>46077.79166666666</v>
      </c>
      <c r="C314" s="3" t="s">
        <v>9</v>
      </c>
      <c r="D314" s="5">
        <v>13.8</v>
      </c>
      <c r="E314" s="5">
        <v>13.3</v>
      </c>
      <c r="F314" s="6">
        <v>81.0</v>
      </c>
      <c r="G314" s="6">
        <v>1011.0</v>
      </c>
      <c r="H314" s="3" t="s">
        <v>10</v>
      </c>
      <c r="I314" s="5">
        <v>19.7</v>
      </c>
    </row>
    <row r="315" ht="15.75" customHeight="1">
      <c r="A315" s="3">
        <v>314.0</v>
      </c>
      <c r="B315" s="4">
        <v>46079.54166666666</v>
      </c>
      <c r="C315" s="3" t="s">
        <v>9</v>
      </c>
      <c r="D315" s="5">
        <v>13.7</v>
      </c>
      <c r="E315" s="5">
        <v>13.4</v>
      </c>
      <c r="F315" s="6">
        <v>91.0</v>
      </c>
      <c r="G315" s="6">
        <v>1014.0</v>
      </c>
      <c r="H315" s="3" t="s">
        <v>10</v>
      </c>
      <c r="I315" s="5">
        <v>22.4</v>
      </c>
    </row>
    <row r="316" ht="15.75" customHeight="1">
      <c r="A316" s="3">
        <v>315.0</v>
      </c>
      <c r="B316" s="4">
        <v>46080.83333333334</v>
      </c>
      <c r="C316" s="3" t="s">
        <v>9</v>
      </c>
      <c r="D316" s="5">
        <v>13.5</v>
      </c>
      <c r="E316" s="5">
        <v>13.6</v>
      </c>
      <c r="F316" s="6">
        <v>71.0</v>
      </c>
      <c r="G316" s="6">
        <v>1015.0</v>
      </c>
      <c r="H316" s="3" t="s">
        <v>10</v>
      </c>
      <c r="I316" s="5">
        <v>18.7</v>
      </c>
    </row>
    <row r="317" ht="15.75" customHeight="1">
      <c r="A317" s="3">
        <v>316.0</v>
      </c>
      <c r="B317" s="4">
        <v>46081.4375</v>
      </c>
      <c r="C317" s="3" t="s">
        <v>9</v>
      </c>
      <c r="D317" s="5">
        <v>11.3</v>
      </c>
      <c r="E317" s="5">
        <v>10.7</v>
      </c>
      <c r="F317" s="6">
        <v>78.0</v>
      </c>
      <c r="G317" s="6">
        <v>1022.0</v>
      </c>
      <c r="H317" s="3" t="s">
        <v>16</v>
      </c>
      <c r="I317" s="5">
        <v>19.2</v>
      </c>
    </row>
    <row r="318" ht="15.75" customHeight="1">
      <c r="A318" s="3">
        <v>317.0</v>
      </c>
      <c r="B318" s="4">
        <v>46082.65277777778</v>
      </c>
      <c r="C318" s="3" t="s">
        <v>9</v>
      </c>
      <c r="D318" s="5">
        <v>11.2</v>
      </c>
      <c r="E318" s="5">
        <v>10.7</v>
      </c>
      <c r="F318" s="6">
        <v>76.0</v>
      </c>
      <c r="G318" s="6">
        <v>1014.0</v>
      </c>
      <c r="H318" s="3" t="s">
        <v>14</v>
      </c>
      <c r="I318" s="5">
        <v>15.9</v>
      </c>
    </row>
    <row r="319" ht="15.75" customHeight="1">
      <c r="A319" s="3">
        <v>318.0</v>
      </c>
      <c r="B319" s="4">
        <v>46083.60416666666</v>
      </c>
      <c r="C319" s="3" t="s">
        <v>9</v>
      </c>
      <c r="D319" s="5">
        <v>8.3</v>
      </c>
      <c r="E319" s="5">
        <v>7.2</v>
      </c>
      <c r="F319" s="6">
        <v>70.0</v>
      </c>
      <c r="G319" s="6">
        <v>1013.0</v>
      </c>
      <c r="H319" s="3" t="s">
        <v>10</v>
      </c>
      <c r="I319" s="5">
        <v>18.2</v>
      </c>
    </row>
    <row r="320" ht="15.75" customHeight="1">
      <c r="A320" s="3">
        <v>319.0</v>
      </c>
      <c r="B320" s="4">
        <v>46084.89583333334</v>
      </c>
      <c r="C320" s="3" t="s">
        <v>9</v>
      </c>
      <c r="D320" s="5">
        <v>13.8</v>
      </c>
      <c r="E320" s="5">
        <v>12.9</v>
      </c>
      <c r="F320" s="6">
        <v>79.0</v>
      </c>
      <c r="G320" s="6">
        <v>1014.0</v>
      </c>
      <c r="H320" s="3" t="s">
        <v>18</v>
      </c>
      <c r="I320" s="5">
        <v>31.9</v>
      </c>
    </row>
    <row r="321" ht="15.75" customHeight="1">
      <c r="A321" s="3">
        <v>320.0</v>
      </c>
      <c r="B321" s="4">
        <v>46085.5625</v>
      </c>
      <c r="C321" s="3" t="s">
        <v>9</v>
      </c>
      <c r="D321" s="5">
        <v>13.2</v>
      </c>
      <c r="E321" s="5">
        <v>13.5</v>
      </c>
      <c r="F321" s="6">
        <v>71.0</v>
      </c>
      <c r="G321" s="6">
        <v>1020.0</v>
      </c>
      <c r="H321" s="3" t="s">
        <v>10</v>
      </c>
      <c r="I321" s="5">
        <v>23.6</v>
      </c>
    </row>
    <row r="322" ht="15.75" customHeight="1">
      <c r="A322" s="3">
        <v>321.0</v>
      </c>
      <c r="B322" s="4">
        <v>46086.4375</v>
      </c>
      <c r="C322" s="3" t="s">
        <v>9</v>
      </c>
      <c r="D322" s="5">
        <v>11.9</v>
      </c>
      <c r="E322" s="5">
        <v>10.7</v>
      </c>
      <c r="F322" s="6">
        <v>69.0</v>
      </c>
      <c r="G322" s="6">
        <v>1021.0</v>
      </c>
      <c r="H322" s="3" t="s">
        <v>14</v>
      </c>
      <c r="I322" s="5">
        <v>23.4</v>
      </c>
    </row>
    <row r="323" ht="15.75" customHeight="1">
      <c r="A323" s="3">
        <v>322.0</v>
      </c>
      <c r="B323" s="4">
        <v>46087.52777777778</v>
      </c>
      <c r="C323" s="3" t="s">
        <v>9</v>
      </c>
      <c r="D323" s="5">
        <v>14.6</v>
      </c>
      <c r="E323" s="5">
        <v>15.3</v>
      </c>
      <c r="F323" s="6">
        <v>90.0</v>
      </c>
      <c r="G323" s="6">
        <v>1020.0</v>
      </c>
      <c r="H323" s="3" t="s">
        <v>10</v>
      </c>
      <c r="I323" s="5">
        <v>22.0</v>
      </c>
    </row>
    <row r="324" ht="15.75" customHeight="1">
      <c r="A324" s="3">
        <v>323.0</v>
      </c>
      <c r="B324" s="4">
        <v>46088.41666666666</v>
      </c>
      <c r="C324" s="3" t="s">
        <v>9</v>
      </c>
      <c r="D324" s="5">
        <v>12.8</v>
      </c>
      <c r="E324" s="5">
        <v>12.4</v>
      </c>
      <c r="F324" s="6">
        <v>98.0</v>
      </c>
      <c r="G324" s="6">
        <v>1016.0</v>
      </c>
      <c r="H324" s="3" t="s">
        <v>13</v>
      </c>
      <c r="I324" s="5">
        <v>17.0</v>
      </c>
    </row>
    <row r="325" ht="15.75" customHeight="1">
      <c r="A325" s="3">
        <v>324.0</v>
      </c>
      <c r="B325" s="4">
        <v>46089.60416666666</v>
      </c>
      <c r="C325" s="3" t="s">
        <v>9</v>
      </c>
      <c r="D325" s="5">
        <v>13.7</v>
      </c>
      <c r="E325" s="5">
        <v>14.0</v>
      </c>
      <c r="F325" s="6">
        <v>96.0</v>
      </c>
      <c r="G325" s="6">
        <v>1017.0</v>
      </c>
      <c r="H325" s="3" t="s">
        <v>12</v>
      </c>
      <c r="I325" s="5">
        <v>17.5</v>
      </c>
    </row>
    <row r="326" ht="15.75" customHeight="1">
      <c r="A326" s="3">
        <v>325.0</v>
      </c>
      <c r="B326" s="4">
        <v>46091.69444444445</v>
      </c>
      <c r="C326" s="3" t="s">
        <v>9</v>
      </c>
      <c r="D326" s="5">
        <v>14.6</v>
      </c>
      <c r="E326" s="5">
        <v>15.2</v>
      </c>
      <c r="F326" s="6">
        <v>83.0</v>
      </c>
      <c r="G326" s="6">
        <v>1021.0</v>
      </c>
      <c r="H326" s="3" t="s">
        <v>16</v>
      </c>
      <c r="I326" s="5">
        <v>25.4</v>
      </c>
    </row>
    <row r="327" ht="15.75" customHeight="1">
      <c r="A327" s="3">
        <v>326.0</v>
      </c>
      <c r="B327" s="4">
        <v>46092.58333333334</v>
      </c>
      <c r="C327" s="3" t="s">
        <v>9</v>
      </c>
      <c r="D327" s="5">
        <v>12.7</v>
      </c>
      <c r="E327" s="5">
        <v>11.7</v>
      </c>
      <c r="F327" s="6">
        <v>59.0</v>
      </c>
      <c r="G327" s="6">
        <v>1017.0</v>
      </c>
      <c r="H327" s="3" t="s">
        <v>10</v>
      </c>
      <c r="I327" s="5">
        <v>17.1</v>
      </c>
    </row>
    <row r="328" ht="15.75" customHeight="1">
      <c r="A328" s="3">
        <v>327.0</v>
      </c>
      <c r="B328" s="4">
        <v>46093.65972222222</v>
      </c>
      <c r="C328" s="3" t="s">
        <v>9</v>
      </c>
      <c r="D328" s="5">
        <v>17.0</v>
      </c>
      <c r="E328" s="5">
        <v>17.8</v>
      </c>
      <c r="F328" s="6">
        <v>74.0</v>
      </c>
      <c r="G328" s="6">
        <v>1019.0</v>
      </c>
      <c r="H328" s="3" t="s">
        <v>10</v>
      </c>
      <c r="I328" s="5">
        <v>24.3</v>
      </c>
    </row>
    <row r="329" ht="15.75" customHeight="1">
      <c r="A329" s="3">
        <v>328.0</v>
      </c>
      <c r="B329" s="4">
        <v>46094.65277777778</v>
      </c>
      <c r="C329" s="3" t="s">
        <v>9</v>
      </c>
      <c r="D329" s="5">
        <v>12.2</v>
      </c>
      <c r="E329" s="5">
        <v>11.1</v>
      </c>
      <c r="F329" s="6">
        <v>90.0</v>
      </c>
      <c r="G329" s="6">
        <v>1014.0</v>
      </c>
      <c r="H329" s="3" t="s">
        <v>15</v>
      </c>
      <c r="I329" s="5">
        <v>21.8</v>
      </c>
    </row>
    <row r="330" ht="15.75" customHeight="1">
      <c r="A330" s="3">
        <v>329.0</v>
      </c>
      <c r="B330" s="4">
        <v>46095.88194444445</v>
      </c>
      <c r="C330" s="3" t="s">
        <v>9</v>
      </c>
      <c r="D330" s="5">
        <v>13.8</v>
      </c>
      <c r="E330" s="5">
        <v>14.3</v>
      </c>
      <c r="F330" s="6">
        <v>73.0</v>
      </c>
      <c r="G330" s="6">
        <v>1024.0</v>
      </c>
      <c r="H330" s="3" t="s">
        <v>15</v>
      </c>
      <c r="I330" s="5">
        <v>27.2</v>
      </c>
    </row>
    <row r="331" ht="15.75" customHeight="1">
      <c r="A331" s="3">
        <v>330.0</v>
      </c>
      <c r="B331" s="4">
        <v>46096.86111111111</v>
      </c>
      <c r="C331" s="3" t="s">
        <v>9</v>
      </c>
      <c r="D331" s="5">
        <v>17.3</v>
      </c>
      <c r="E331" s="5">
        <v>16.5</v>
      </c>
      <c r="F331" s="6">
        <v>93.0</v>
      </c>
      <c r="G331" s="6">
        <v>1022.0</v>
      </c>
      <c r="H331" s="3" t="s">
        <v>15</v>
      </c>
      <c r="I331" s="5">
        <v>29.6</v>
      </c>
    </row>
    <row r="332" ht="15.75" customHeight="1">
      <c r="A332" s="3">
        <v>331.0</v>
      </c>
      <c r="B332" s="4">
        <v>46097.88888888889</v>
      </c>
      <c r="C332" s="3" t="s">
        <v>9</v>
      </c>
      <c r="D332" s="5">
        <v>15.6</v>
      </c>
      <c r="E332" s="5">
        <v>16.1</v>
      </c>
      <c r="F332" s="6">
        <v>84.0</v>
      </c>
      <c r="G332" s="6">
        <v>1018.0</v>
      </c>
      <c r="H332" s="3" t="s">
        <v>14</v>
      </c>
      <c r="I332" s="5">
        <v>19.2</v>
      </c>
    </row>
    <row r="333" ht="15.75" customHeight="1">
      <c r="A333" s="3">
        <v>332.0</v>
      </c>
      <c r="B333" s="4">
        <v>46098.69444444445</v>
      </c>
      <c r="C333" s="3" t="s">
        <v>9</v>
      </c>
      <c r="D333" s="5">
        <v>17.5</v>
      </c>
      <c r="E333" s="5">
        <v>18.3</v>
      </c>
      <c r="F333" s="6">
        <v>77.0</v>
      </c>
      <c r="G333" s="6">
        <v>1023.0</v>
      </c>
      <c r="H333" s="3" t="s">
        <v>10</v>
      </c>
      <c r="I333" s="5">
        <v>20.0</v>
      </c>
    </row>
    <row r="334" ht="15.75" customHeight="1">
      <c r="A334" s="3">
        <v>333.0</v>
      </c>
      <c r="B334" s="4">
        <v>46099.77083333334</v>
      </c>
      <c r="C334" s="3" t="s">
        <v>9</v>
      </c>
      <c r="D334" s="5">
        <v>18.4</v>
      </c>
      <c r="E334" s="5">
        <v>18.9</v>
      </c>
      <c r="F334" s="6">
        <v>79.0</v>
      </c>
      <c r="G334" s="6">
        <v>1020.0</v>
      </c>
      <c r="H334" s="3" t="s">
        <v>17</v>
      </c>
      <c r="I334" s="5">
        <v>18.2</v>
      </c>
    </row>
    <row r="335" ht="15.75" customHeight="1">
      <c r="A335" s="3">
        <v>334.0</v>
      </c>
      <c r="B335" s="4">
        <v>46100.67361111111</v>
      </c>
      <c r="C335" s="3" t="s">
        <v>9</v>
      </c>
      <c r="D335" s="5">
        <v>16.9</v>
      </c>
      <c r="E335" s="5">
        <v>18.1</v>
      </c>
      <c r="F335" s="6">
        <v>77.0</v>
      </c>
      <c r="G335" s="6">
        <v>1021.0</v>
      </c>
      <c r="H335" s="3" t="s">
        <v>10</v>
      </c>
      <c r="I335" s="5">
        <v>18.9</v>
      </c>
    </row>
    <row r="336" ht="15.75" customHeight="1">
      <c r="A336" s="3">
        <v>335.0</v>
      </c>
      <c r="B336" s="4">
        <v>46101.56944444445</v>
      </c>
      <c r="C336" s="3" t="s">
        <v>9</v>
      </c>
      <c r="D336" s="5">
        <v>15.1</v>
      </c>
      <c r="E336" s="5">
        <v>15.7</v>
      </c>
      <c r="F336" s="6">
        <v>89.0</v>
      </c>
      <c r="G336" s="6">
        <v>1025.0</v>
      </c>
      <c r="H336" s="3" t="s">
        <v>16</v>
      </c>
      <c r="I336" s="5">
        <v>21.4</v>
      </c>
    </row>
    <row r="337" ht="15.75" customHeight="1">
      <c r="A337" s="3">
        <v>336.0</v>
      </c>
      <c r="B337" s="4">
        <v>46102.75694444445</v>
      </c>
      <c r="C337" s="3" t="s">
        <v>9</v>
      </c>
      <c r="D337" s="5">
        <v>16.2</v>
      </c>
      <c r="E337" s="5">
        <v>16.8</v>
      </c>
      <c r="F337" s="6">
        <v>72.0</v>
      </c>
      <c r="G337" s="6">
        <v>1014.0</v>
      </c>
      <c r="H337" s="3" t="s">
        <v>10</v>
      </c>
      <c r="I337" s="5">
        <v>19.2</v>
      </c>
    </row>
    <row r="338" ht="15.75" customHeight="1">
      <c r="A338" s="3">
        <v>337.0</v>
      </c>
      <c r="B338" s="4">
        <v>46103.79166666666</v>
      </c>
      <c r="C338" s="3" t="s">
        <v>9</v>
      </c>
      <c r="D338" s="5">
        <v>14.9</v>
      </c>
      <c r="E338" s="5">
        <v>15.4</v>
      </c>
      <c r="F338" s="6">
        <v>82.0</v>
      </c>
      <c r="G338" s="6">
        <v>1020.0</v>
      </c>
      <c r="H338" s="3" t="s">
        <v>15</v>
      </c>
      <c r="I338" s="5">
        <v>19.4</v>
      </c>
    </row>
    <row r="339" ht="15.75" customHeight="1">
      <c r="A339" s="3">
        <v>338.0</v>
      </c>
      <c r="B339" s="4">
        <v>46104.70138888889</v>
      </c>
      <c r="C339" s="3" t="s">
        <v>9</v>
      </c>
      <c r="D339" s="5">
        <v>15.1</v>
      </c>
      <c r="E339" s="5">
        <v>14.4</v>
      </c>
      <c r="F339" s="6">
        <v>92.0</v>
      </c>
      <c r="G339" s="6">
        <v>1028.0</v>
      </c>
      <c r="H339" s="3" t="s">
        <v>10</v>
      </c>
      <c r="I339" s="5">
        <v>24.8</v>
      </c>
    </row>
    <row r="340" ht="15.75" customHeight="1">
      <c r="A340" s="3">
        <v>339.0</v>
      </c>
      <c r="B340" s="4">
        <v>46105.90972222222</v>
      </c>
      <c r="C340" s="3" t="s">
        <v>9</v>
      </c>
      <c r="D340" s="5">
        <v>14.6</v>
      </c>
      <c r="E340" s="5">
        <v>14.6</v>
      </c>
      <c r="F340" s="6">
        <v>90.0</v>
      </c>
      <c r="G340" s="6">
        <v>1018.0</v>
      </c>
      <c r="H340" s="3" t="s">
        <v>15</v>
      </c>
      <c r="I340" s="5">
        <v>25.1</v>
      </c>
    </row>
    <row r="341" ht="15.75" customHeight="1">
      <c r="A341" s="3">
        <v>340.0</v>
      </c>
      <c r="B341" s="4">
        <v>46106.77083333334</v>
      </c>
      <c r="C341" s="3" t="s">
        <v>9</v>
      </c>
      <c r="D341" s="5">
        <v>22.1</v>
      </c>
      <c r="E341" s="5">
        <v>22.5</v>
      </c>
      <c r="F341" s="6">
        <v>69.0</v>
      </c>
      <c r="G341" s="6">
        <v>1022.0</v>
      </c>
      <c r="H341" s="3" t="s">
        <v>10</v>
      </c>
      <c r="I341" s="5">
        <v>18.2</v>
      </c>
    </row>
    <row r="342" ht="15.75" customHeight="1">
      <c r="A342" s="3">
        <v>341.0</v>
      </c>
      <c r="B342" s="4">
        <v>46108.4375</v>
      </c>
      <c r="C342" s="3" t="s">
        <v>9</v>
      </c>
      <c r="D342" s="5">
        <v>11.8</v>
      </c>
      <c r="E342" s="5">
        <v>10.8</v>
      </c>
      <c r="F342" s="6">
        <v>69.0</v>
      </c>
      <c r="G342" s="6">
        <v>1017.0</v>
      </c>
      <c r="H342" s="3" t="s">
        <v>11</v>
      </c>
      <c r="I342" s="5">
        <v>19.2</v>
      </c>
    </row>
    <row r="343" ht="15.75" customHeight="1">
      <c r="A343" s="3">
        <v>342.0</v>
      </c>
      <c r="B343" s="4">
        <v>46109.29861111111</v>
      </c>
      <c r="C343" s="3" t="s">
        <v>9</v>
      </c>
      <c r="D343" s="5">
        <v>10.4</v>
      </c>
      <c r="E343" s="5">
        <v>9.1</v>
      </c>
      <c r="F343" s="6">
        <v>83.0</v>
      </c>
      <c r="G343" s="6">
        <v>1009.0</v>
      </c>
      <c r="H343" s="3" t="s">
        <v>11</v>
      </c>
      <c r="I343" s="5">
        <v>22.7</v>
      </c>
    </row>
    <row r="344" ht="15.75" customHeight="1">
      <c r="A344" s="3">
        <v>343.0</v>
      </c>
      <c r="B344" s="4">
        <v>46110.66666666666</v>
      </c>
      <c r="C344" s="3" t="s">
        <v>9</v>
      </c>
      <c r="D344" s="5">
        <v>17.4</v>
      </c>
      <c r="E344" s="5">
        <v>18.2</v>
      </c>
      <c r="F344" s="6">
        <v>92.0</v>
      </c>
      <c r="G344" s="6">
        <v>1015.0</v>
      </c>
      <c r="H344" s="3" t="s">
        <v>12</v>
      </c>
      <c r="I344" s="5">
        <v>16.2</v>
      </c>
    </row>
    <row r="345" ht="15.75" customHeight="1">
      <c r="A345" s="3">
        <v>344.0</v>
      </c>
      <c r="B345" s="4">
        <v>46111.83333333334</v>
      </c>
      <c r="C345" s="3" t="s">
        <v>9</v>
      </c>
      <c r="D345" s="5">
        <v>17.6</v>
      </c>
      <c r="E345" s="5">
        <v>17.4</v>
      </c>
      <c r="F345" s="6">
        <v>72.0</v>
      </c>
      <c r="G345" s="6">
        <v>1017.0</v>
      </c>
      <c r="H345" s="3" t="s">
        <v>10</v>
      </c>
      <c r="I345" s="5">
        <v>22.4</v>
      </c>
    </row>
    <row r="346" ht="15.75" customHeight="1">
      <c r="A346" s="3">
        <v>345.0</v>
      </c>
      <c r="B346" s="4">
        <v>46112.83333333334</v>
      </c>
      <c r="C346" s="3" t="s">
        <v>9</v>
      </c>
      <c r="D346" s="5">
        <v>15.7</v>
      </c>
      <c r="E346" s="5">
        <v>16.2</v>
      </c>
      <c r="F346" s="6">
        <v>77.0</v>
      </c>
      <c r="G346" s="6">
        <v>1018.0</v>
      </c>
      <c r="H346" s="3" t="s">
        <v>10</v>
      </c>
      <c r="I346" s="5">
        <v>22.3</v>
      </c>
    </row>
    <row r="347" ht="15.75" customHeight="1">
      <c r="A347" s="3">
        <v>346.0</v>
      </c>
      <c r="B347" s="4">
        <v>46113.4375</v>
      </c>
      <c r="C347" s="3" t="s">
        <v>9</v>
      </c>
      <c r="D347" s="5">
        <v>15.3</v>
      </c>
      <c r="E347" s="5">
        <v>14.5</v>
      </c>
      <c r="F347" s="6">
        <v>96.0</v>
      </c>
      <c r="G347" s="6">
        <v>1011.0</v>
      </c>
      <c r="H347" s="3" t="s">
        <v>14</v>
      </c>
      <c r="I347" s="5">
        <v>17.0</v>
      </c>
    </row>
    <row r="348" ht="15.75" customHeight="1">
      <c r="A348" s="3">
        <v>347.0</v>
      </c>
      <c r="B348" s="4">
        <v>46114.41666666666</v>
      </c>
      <c r="C348" s="3" t="s">
        <v>9</v>
      </c>
      <c r="D348" s="5">
        <v>15.3</v>
      </c>
      <c r="E348" s="5">
        <v>14.8</v>
      </c>
      <c r="F348" s="6">
        <v>87.0</v>
      </c>
      <c r="G348" s="6">
        <v>1020.0</v>
      </c>
      <c r="H348" s="3" t="s">
        <v>10</v>
      </c>
      <c r="I348" s="5">
        <v>25.1</v>
      </c>
    </row>
    <row r="349" ht="15.75" customHeight="1">
      <c r="A349" s="3">
        <v>348.0</v>
      </c>
      <c r="B349" s="4">
        <v>46115.88888888889</v>
      </c>
      <c r="C349" s="3" t="s">
        <v>9</v>
      </c>
      <c r="D349" s="5">
        <v>20.6</v>
      </c>
      <c r="E349" s="5">
        <v>20.2</v>
      </c>
      <c r="F349" s="6">
        <v>82.0</v>
      </c>
      <c r="G349" s="6">
        <v>1017.0</v>
      </c>
      <c r="H349" s="3" t="s">
        <v>12</v>
      </c>
      <c r="I349" s="5">
        <v>16.0</v>
      </c>
    </row>
    <row r="350" ht="15.75" customHeight="1">
      <c r="A350" s="3">
        <v>349.0</v>
      </c>
      <c r="B350" s="4">
        <v>46116.69444444445</v>
      </c>
      <c r="C350" s="3" t="s">
        <v>9</v>
      </c>
      <c r="D350" s="5">
        <v>14.4</v>
      </c>
      <c r="E350" s="5">
        <v>15.3</v>
      </c>
      <c r="F350" s="6">
        <v>83.0</v>
      </c>
      <c r="G350" s="6">
        <v>1014.0</v>
      </c>
      <c r="H350" s="3" t="s">
        <v>13</v>
      </c>
      <c r="I350" s="5">
        <v>17.7</v>
      </c>
    </row>
    <row r="351" ht="15.75" customHeight="1">
      <c r="A351" s="3">
        <v>350.0</v>
      </c>
      <c r="B351" s="4">
        <v>46117.78472222222</v>
      </c>
      <c r="C351" s="3" t="s">
        <v>9</v>
      </c>
      <c r="D351" s="5">
        <v>18.1</v>
      </c>
      <c r="E351" s="5">
        <v>19.1</v>
      </c>
      <c r="F351" s="6">
        <v>79.0</v>
      </c>
      <c r="G351" s="6">
        <v>1018.0</v>
      </c>
      <c r="H351" s="3" t="s">
        <v>10</v>
      </c>
      <c r="I351" s="5">
        <v>16.8</v>
      </c>
    </row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D351">
    <cfRule type="colorScale" priority="1">
      <colorScale>
        <cfvo type="formula" val="8"/>
        <cfvo type="formula" val="18"/>
        <cfvo type="formula" val="32"/>
        <color rgb="FF5B9BD5"/>
        <color rgb="FFFFF2CC"/>
        <color rgb="FFED7D31"/>
      </colorScale>
    </cfRule>
  </conditionalFormatting>
  <conditionalFormatting sqref="F2:F351">
    <cfRule type="colorScale" priority="2">
      <colorScale>
        <cfvo type="formula" val="40"/>
        <cfvo type="formula" val="70"/>
        <cfvo type="formula" val="95"/>
        <color rgb="FFE2F0D9"/>
        <color rgb="FFFFF2CC"/>
        <color rgb="FFF4CCCC"/>
      </colorScale>
    </cfRule>
  </conditionalFormatting>
  <conditionalFormatting sqref="I2:I351">
    <cfRule type="colorScale" priority="3">
      <colorScale>
        <cfvo type="formula" val="5"/>
        <cfvo type="formula" val="18"/>
        <cfvo type="formula" val="40"/>
        <color rgb="FFE2F0D9"/>
        <color rgb="FFD9EAF7"/>
        <color rgb="FF9FC5E8"/>
      </colorScale>
    </cfRule>
  </conditionalFormatting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40.0"/>
    <col customWidth="1" min="3" max="4" width="14.0"/>
    <col customWidth="1" min="5" max="26" width="8.71"/>
  </cols>
  <sheetData>
    <row r="1">
      <c r="A1" s="7" t="s">
        <v>20</v>
      </c>
      <c r="B1" s="8"/>
      <c r="C1" s="8"/>
      <c r="D1" s="9"/>
    </row>
    <row r="3">
      <c r="A3" s="10" t="s">
        <v>21</v>
      </c>
      <c r="B3" s="11" t="s">
        <v>9</v>
      </c>
    </row>
    <row r="4">
      <c r="A4" s="10" t="s">
        <v>22</v>
      </c>
      <c r="B4" s="11">
        <v>350.0</v>
      </c>
    </row>
    <row r="5">
      <c r="A5" s="10" t="s">
        <v>23</v>
      </c>
      <c r="B5" s="12">
        <v>45754.0</v>
      </c>
      <c r="C5" s="12">
        <v>46117.0</v>
      </c>
    </row>
    <row r="6">
      <c r="A6" s="10" t="s">
        <v>24</v>
      </c>
      <c r="B6" s="11" t="s">
        <v>25</v>
      </c>
    </row>
    <row r="7">
      <c r="A7" s="10" t="s">
        <v>26</v>
      </c>
      <c r="B7" s="11" t="s">
        <v>27</v>
      </c>
    </row>
    <row r="9">
      <c r="A9" s="10" t="s">
        <v>28</v>
      </c>
      <c r="B9" s="11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9.0"/>
    <col customWidth="1" min="2" max="2" width="14.0"/>
    <col customWidth="1" min="3" max="3" width="12.0"/>
    <col customWidth="1" min="4" max="4" width="10.0"/>
    <col customWidth="1" min="5" max="5" width="14.0"/>
    <col customWidth="1" min="6" max="6" width="10.0"/>
    <col customWidth="1" min="7" max="7" width="12.0"/>
    <col customWidth="1" min="8" max="10" width="10.0"/>
    <col customWidth="1" min="11" max="26" width="8.71"/>
  </cols>
  <sheetData>
    <row r="1">
      <c r="A1" s="1" t="s">
        <v>1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</row>
    <row r="2">
      <c r="A2" s="13">
        <f>weather_data!B2</f>
        <v>45754.59028</v>
      </c>
      <c r="B2" s="14">
        <f t="shared" ref="B2:B351" si="1">INT(A2)</f>
        <v>45754</v>
      </c>
      <c r="C2" s="15" t="str">
        <f t="shared" ref="C2:C351" si="2">TEXT(B2,"yyyy-mm")</f>
        <v>2025-04</v>
      </c>
      <c r="D2" s="15">
        <f t="shared" ref="D2:D351" si="3">MONTH(B2)</f>
        <v>4</v>
      </c>
      <c r="E2" s="15" t="str">
        <f t="shared" ref="E2:E351" si="4">TEXT(B2,"mmmm")</f>
        <v>kwietnia</v>
      </c>
      <c r="F2" s="15" t="str">
        <f t="shared" ref="F2:F351" si="5">"Q"&amp;ROUNDUP(D2/3,0)</f>
        <v>Q2</v>
      </c>
      <c r="G2" s="15" t="str">
        <f t="shared" ref="G2:G351" si="6">IF(OR(D2=12,D2&lt;=2),"Winter",IF(D2&lt;=5,"Spring",IF(D2&lt;=8,"Summer","Autumn")))</f>
        <v>Spring</v>
      </c>
      <c r="H2" s="16">
        <f>weather_data!E2-weather_data!D2</f>
        <v>-1</v>
      </c>
      <c r="I2" s="15">
        <f>IF(OR(weather_data!H2="light rain",weather_data!H2="moderate rain",weather_data!H2="drizzle",weather_data!H2="thunderstorm"),1,0)</f>
        <v>0</v>
      </c>
      <c r="J2" s="15">
        <f>IF(weather_data!I2&gt;=25,1,0)</f>
        <v>0</v>
      </c>
    </row>
    <row r="3">
      <c r="A3" s="13">
        <f>weather_data!B3</f>
        <v>45755.70833</v>
      </c>
      <c r="B3" s="14">
        <f t="shared" si="1"/>
        <v>45755</v>
      </c>
      <c r="C3" s="15" t="str">
        <f t="shared" si="2"/>
        <v>2025-04</v>
      </c>
      <c r="D3" s="15">
        <f t="shared" si="3"/>
        <v>4</v>
      </c>
      <c r="E3" s="15" t="str">
        <f t="shared" si="4"/>
        <v>kwietnia</v>
      </c>
      <c r="F3" s="15" t="str">
        <f t="shared" si="5"/>
        <v>Q2</v>
      </c>
      <c r="G3" s="15" t="str">
        <f t="shared" si="6"/>
        <v>Spring</v>
      </c>
      <c r="H3" s="16">
        <f>weather_data!E3-weather_data!D3</f>
        <v>0.2</v>
      </c>
      <c r="I3" s="15">
        <f>IF(OR(weather_data!H3="light rain",weather_data!H3="moderate rain",weather_data!H3="drizzle",weather_data!H3="thunderstorm"),1,0)</f>
        <v>1</v>
      </c>
      <c r="J3" s="15">
        <f>IF(weather_data!I3&gt;=25,1,0)</f>
        <v>1</v>
      </c>
    </row>
    <row r="4">
      <c r="A4" s="13">
        <f>weather_data!B4</f>
        <v>45756.55556</v>
      </c>
      <c r="B4" s="14">
        <f t="shared" si="1"/>
        <v>45756</v>
      </c>
      <c r="C4" s="15" t="str">
        <f t="shared" si="2"/>
        <v>2025-04</v>
      </c>
      <c r="D4" s="15">
        <f t="shared" si="3"/>
        <v>4</v>
      </c>
      <c r="E4" s="15" t="str">
        <f t="shared" si="4"/>
        <v>kwietnia</v>
      </c>
      <c r="F4" s="15" t="str">
        <f t="shared" si="5"/>
        <v>Q2</v>
      </c>
      <c r="G4" s="15" t="str">
        <f t="shared" si="6"/>
        <v>Spring</v>
      </c>
      <c r="H4" s="16">
        <f>weather_data!E4-weather_data!D4</f>
        <v>-0.9</v>
      </c>
      <c r="I4" s="15">
        <f>IF(OR(weather_data!H4="light rain",weather_data!H4="moderate rain",weather_data!H4="drizzle",weather_data!H4="thunderstorm"),1,0)</f>
        <v>0</v>
      </c>
      <c r="J4" s="15">
        <f>IF(weather_data!I4&gt;=25,1,0)</f>
        <v>0</v>
      </c>
    </row>
    <row r="5">
      <c r="A5" s="13">
        <f>weather_data!B5</f>
        <v>45757.63194</v>
      </c>
      <c r="B5" s="14">
        <f t="shared" si="1"/>
        <v>45757</v>
      </c>
      <c r="C5" s="15" t="str">
        <f t="shared" si="2"/>
        <v>2025-04</v>
      </c>
      <c r="D5" s="15">
        <f t="shared" si="3"/>
        <v>4</v>
      </c>
      <c r="E5" s="15" t="str">
        <f t="shared" si="4"/>
        <v>kwietnia</v>
      </c>
      <c r="F5" s="15" t="str">
        <f t="shared" si="5"/>
        <v>Q2</v>
      </c>
      <c r="G5" s="15" t="str">
        <f t="shared" si="6"/>
        <v>Spring</v>
      </c>
      <c r="H5" s="16">
        <f>weather_data!E5-weather_data!D5</f>
        <v>0.6</v>
      </c>
      <c r="I5" s="15">
        <f>IF(OR(weather_data!H5="light rain",weather_data!H5="moderate rain",weather_data!H5="drizzle",weather_data!H5="thunderstorm"),1,0)</f>
        <v>0</v>
      </c>
      <c r="J5" s="15">
        <f>IF(weather_data!I5&gt;=25,1,0)</f>
        <v>0</v>
      </c>
    </row>
    <row r="6">
      <c r="A6" s="13">
        <f>weather_data!B6</f>
        <v>45758.86111</v>
      </c>
      <c r="B6" s="14">
        <f t="shared" si="1"/>
        <v>45758</v>
      </c>
      <c r="C6" s="15" t="str">
        <f t="shared" si="2"/>
        <v>2025-04</v>
      </c>
      <c r="D6" s="15">
        <f t="shared" si="3"/>
        <v>4</v>
      </c>
      <c r="E6" s="15" t="str">
        <f t="shared" si="4"/>
        <v>kwietnia</v>
      </c>
      <c r="F6" s="15" t="str">
        <f t="shared" si="5"/>
        <v>Q2</v>
      </c>
      <c r="G6" s="15" t="str">
        <f t="shared" si="6"/>
        <v>Spring</v>
      </c>
      <c r="H6" s="16">
        <f>weather_data!E6-weather_data!D6</f>
        <v>0.2</v>
      </c>
      <c r="I6" s="15">
        <f>IF(OR(weather_data!H6="light rain",weather_data!H6="moderate rain",weather_data!H6="drizzle",weather_data!H6="thunderstorm"),1,0)</f>
        <v>0</v>
      </c>
      <c r="J6" s="15">
        <f>IF(weather_data!I6&gt;=25,1,0)</f>
        <v>0</v>
      </c>
    </row>
    <row r="7">
      <c r="A7" s="13">
        <f>weather_data!B7</f>
        <v>45759.65278</v>
      </c>
      <c r="B7" s="14">
        <f t="shared" si="1"/>
        <v>45759</v>
      </c>
      <c r="C7" s="15" t="str">
        <f t="shared" si="2"/>
        <v>2025-04</v>
      </c>
      <c r="D7" s="15">
        <f t="shared" si="3"/>
        <v>4</v>
      </c>
      <c r="E7" s="15" t="str">
        <f t="shared" si="4"/>
        <v>kwietnia</v>
      </c>
      <c r="F7" s="15" t="str">
        <f t="shared" si="5"/>
        <v>Q2</v>
      </c>
      <c r="G7" s="15" t="str">
        <f t="shared" si="6"/>
        <v>Spring</v>
      </c>
      <c r="H7" s="16">
        <f>weather_data!E7-weather_data!D7</f>
        <v>0.8</v>
      </c>
      <c r="I7" s="15">
        <f>IF(OR(weather_data!H7="light rain",weather_data!H7="moderate rain",weather_data!H7="drizzle",weather_data!H7="thunderstorm"),1,0)</f>
        <v>1</v>
      </c>
      <c r="J7" s="15">
        <f>IF(weather_data!I7&gt;=25,1,0)</f>
        <v>0</v>
      </c>
    </row>
    <row r="8">
      <c r="A8" s="13">
        <f>weather_data!B8</f>
        <v>45760.28472</v>
      </c>
      <c r="B8" s="14">
        <f t="shared" si="1"/>
        <v>45760</v>
      </c>
      <c r="C8" s="15" t="str">
        <f t="shared" si="2"/>
        <v>2025-04</v>
      </c>
      <c r="D8" s="15">
        <f t="shared" si="3"/>
        <v>4</v>
      </c>
      <c r="E8" s="15" t="str">
        <f t="shared" si="4"/>
        <v>kwietnia</v>
      </c>
      <c r="F8" s="15" t="str">
        <f t="shared" si="5"/>
        <v>Q2</v>
      </c>
      <c r="G8" s="15" t="str">
        <f t="shared" si="6"/>
        <v>Spring</v>
      </c>
      <c r="H8" s="16">
        <f>weather_data!E8-weather_data!D8</f>
        <v>0.1</v>
      </c>
      <c r="I8" s="15">
        <f>IF(OR(weather_data!H8="light rain",weather_data!H8="moderate rain",weather_data!H8="drizzle",weather_data!H8="thunderstorm"),1,0)</f>
        <v>0</v>
      </c>
      <c r="J8" s="15">
        <f>IF(weather_data!I8&gt;=25,1,0)</f>
        <v>0</v>
      </c>
    </row>
    <row r="9">
      <c r="A9" s="13">
        <f>weather_data!B9</f>
        <v>45761.65972</v>
      </c>
      <c r="B9" s="14">
        <f t="shared" si="1"/>
        <v>45761</v>
      </c>
      <c r="C9" s="15" t="str">
        <f t="shared" si="2"/>
        <v>2025-04</v>
      </c>
      <c r="D9" s="15">
        <f t="shared" si="3"/>
        <v>4</v>
      </c>
      <c r="E9" s="15" t="str">
        <f t="shared" si="4"/>
        <v>kwietnia</v>
      </c>
      <c r="F9" s="15" t="str">
        <f t="shared" si="5"/>
        <v>Q2</v>
      </c>
      <c r="G9" s="15" t="str">
        <f t="shared" si="6"/>
        <v>Spring</v>
      </c>
      <c r="H9" s="16">
        <f>weather_data!E9-weather_data!D9</f>
        <v>0.7</v>
      </c>
      <c r="I9" s="15">
        <f>IF(OR(weather_data!H9="light rain",weather_data!H9="moderate rain",weather_data!H9="drizzle",weather_data!H9="thunderstorm"),1,0)</f>
        <v>0</v>
      </c>
      <c r="J9" s="15">
        <f>IF(weather_data!I9&gt;=25,1,0)</f>
        <v>1</v>
      </c>
    </row>
    <row r="10">
      <c r="A10" s="13">
        <f>weather_data!B10</f>
        <v>45762.38194</v>
      </c>
      <c r="B10" s="14">
        <f t="shared" si="1"/>
        <v>45762</v>
      </c>
      <c r="C10" s="15" t="str">
        <f t="shared" si="2"/>
        <v>2025-04</v>
      </c>
      <c r="D10" s="15">
        <f t="shared" si="3"/>
        <v>4</v>
      </c>
      <c r="E10" s="15" t="str">
        <f t="shared" si="4"/>
        <v>kwietnia</v>
      </c>
      <c r="F10" s="15" t="str">
        <f t="shared" si="5"/>
        <v>Q2</v>
      </c>
      <c r="G10" s="15" t="str">
        <f t="shared" si="6"/>
        <v>Spring</v>
      </c>
      <c r="H10" s="16">
        <f>weather_data!E10-weather_data!D10</f>
        <v>0</v>
      </c>
      <c r="I10" s="15">
        <f>IF(OR(weather_data!H10="light rain",weather_data!H10="moderate rain",weather_data!H10="drizzle",weather_data!H10="thunderstorm"),1,0)</f>
        <v>1</v>
      </c>
      <c r="J10" s="15">
        <f>IF(weather_data!I10&gt;=25,1,0)</f>
        <v>1</v>
      </c>
    </row>
    <row r="11">
      <c r="A11" s="13">
        <f>weather_data!B11</f>
        <v>45763.58333</v>
      </c>
      <c r="B11" s="14">
        <f t="shared" si="1"/>
        <v>45763</v>
      </c>
      <c r="C11" s="15" t="str">
        <f t="shared" si="2"/>
        <v>2025-04</v>
      </c>
      <c r="D11" s="15">
        <f t="shared" si="3"/>
        <v>4</v>
      </c>
      <c r="E11" s="15" t="str">
        <f t="shared" si="4"/>
        <v>kwietnia</v>
      </c>
      <c r="F11" s="15" t="str">
        <f t="shared" si="5"/>
        <v>Q2</v>
      </c>
      <c r="G11" s="15" t="str">
        <f t="shared" si="6"/>
        <v>Spring</v>
      </c>
      <c r="H11" s="16">
        <f>weather_data!E11-weather_data!D11</f>
        <v>-0.2</v>
      </c>
      <c r="I11" s="15">
        <f>IF(OR(weather_data!H11="light rain",weather_data!H11="moderate rain",weather_data!H11="drizzle",weather_data!H11="thunderstorm"),1,0)</f>
        <v>0</v>
      </c>
      <c r="J11" s="15">
        <f>IF(weather_data!I11&gt;=25,1,0)</f>
        <v>0</v>
      </c>
    </row>
    <row r="12">
      <c r="A12" s="13">
        <f>weather_data!B12</f>
        <v>45764.40972</v>
      </c>
      <c r="B12" s="14">
        <f t="shared" si="1"/>
        <v>45764</v>
      </c>
      <c r="C12" s="15" t="str">
        <f t="shared" si="2"/>
        <v>2025-04</v>
      </c>
      <c r="D12" s="15">
        <f t="shared" si="3"/>
        <v>4</v>
      </c>
      <c r="E12" s="15" t="str">
        <f t="shared" si="4"/>
        <v>kwietnia</v>
      </c>
      <c r="F12" s="15" t="str">
        <f t="shared" si="5"/>
        <v>Q2</v>
      </c>
      <c r="G12" s="15" t="str">
        <f t="shared" si="6"/>
        <v>Spring</v>
      </c>
      <c r="H12" s="16">
        <f>weather_data!E12-weather_data!D12</f>
        <v>-0.8</v>
      </c>
      <c r="I12" s="15">
        <f>IF(OR(weather_data!H12="light rain",weather_data!H12="moderate rain",weather_data!H12="drizzle",weather_data!H12="thunderstorm"),1,0)</f>
        <v>0</v>
      </c>
      <c r="J12" s="15">
        <f>IF(weather_data!I12&gt;=25,1,0)</f>
        <v>0</v>
      </c>
    </row>
    <row r="13">
      <c r="A13" s="13">
        <f>weather_data!B13</f>
        <v>45765.43056</v>
      </c>
      <c r="B13" s="14">
        <f t="shared" si="1"/>
        <v>45765</v>
      </c>
      <c r="C13" s="15" t="str">
        <f t="shared" si="2"/>
        <v>2025-04</v>
      </c>
      <c r="D13" s="15">
        <f t="shared" si="3"/>
        <v>4</v>
      </c>
      <c r="E13" s="15" t="str">
        <f t="shared" si="4"/>
        <v>kwietnia</v>
      </c>
      <c r="F13" s="15" t="str">
        <f t="shared" si="5"/>
        <v>Q2</v>
      </c>
      <c r="G13" s="15" t="str">
        <f t="shared" si="6"/>
        <v>Spring</v>
      </c>
      <c r="H13" s="16">
        <f>weather_data!E13-weather_data!D13</f>
        <v>0</v>
      </c>
      <c r="I13" s="15">
        <f>IF(OR(weather_data!H13="light rain",weather_data!H13="moderate rain",weather_data!H13="drizzle",weather_data!H13="thunderstorm"),1,0)</f>
        <v>0</v>
      </c>
      <c r="J13" s="15">
        <f>IF(weather_data!I13&gt;=25,1,0)</f>
        <v>0</v>
      </c>
    </row>
    <row r="14">
      <c r="A14" s="13">
        <f>weather_data!B14</f>
        <v>45766.65278</v>
      </c>
      <c r="B14" s="14">
        <f t="shared" si="1"/>
        <v>45766</v>
      </c>
      <c r="C14" s="15" t="str">
        <f t="shared" si="2"/>
        <v>2025-04</v>
      </c>
      <c r="D14" s="15">
        <f t="shared" si="3"/>
        <v>4</v>
      </c>
      <c r="E14" s="15" t="str">
        <f t="shared" si="4"/>
        <v>kwietnia</v>
      </c>
      <c r="F14" s="15" t="str">
        <f t="shared" si="5"/>
        <v>Q2</v>
      </c>
      <c r="G14" s="15" t="str">
        <f t="shared" si="6"/>
        <v>Spring</v>
      </c>
      <c r="H14" s="16">
        <f>weather_data!E14-weather_data!D14</f>
        <v>-0.8</v>
      </c>
      <c r="I14" s="15">
        <f>IF(OR(weather_data!H14="light rain",weather_data!H14="moderate rain",weather_data!H14="drizzle",weather_data!H14="thunderstorm"),1,0)</f>
        <v>1</v>
      </c>
      <c r="J14" s="15">
        <f>IF(weather_data!I14&gt;=25,1,0)</f>
        <v>0</v>
      </c>
    </row>
    <row r="15">
      <c r="A15" s="13">
        <f>weather_data!B15</f>
        <v>45767.53472</v>
      </c>
      <c r="B15" s="14">
        <f t="shared" si="1"/>
        <v>45767</v>
      </c>
      <c r="C15" s="15" t="str">
        <f t="shared" si="2"/>
        <v>2025-04</v>
      </c>
      <c r="D15" s="15">
        <f t="shared" si="3"/>
        <v>4</v>
      </c>
      <c r="E15" s="15" t="str">
        <f t="shared" si="4"/>
        <v>kwietnia</v>
      </c>
      <c r="F15" s="15" t="str">
        <f t="shared" si="5"/>
        <v>Q2</v>
      </c>
      <c r="G15" s="15" t="str">
        <f t="shared" si="6"/>
        <v>Spring</v>
      </c>
      <c r="H15" s="16">
        <f>weather_data!E15-weather_data!D15</f>
        <v>0.3</v>
      </c>
      <c r="I15" s="15">
        <f>IF(OR(weather_data!H15="light rain",weather_data!H15="moderate rain",weather_data!H15="drizzle",weather_data!H15="thunderstorm"),1,0)</f>
        <v>0</v>
      </c>
      <c r="J15" s="15">
        <f>IF(weather_data!I15&gt;=25,1,0)</f>
        <v>1</v>
      </c>
    </row>
    <row r="16">
      <c r="A16" s="13">
        <f>weather_data!B16</f>
        <v>45768.67361</v>
      </c>
      <c r="B16" s="14">
        <f t="shared" si="1"/>
        <v>45768</v>
      </c>
      <c r="C16" s="15" t="str">
        <f t="shared" si="2"/>
        <v>2025-04</v>
      </c>
      <c r="D16" s="15">
        <f t="shared" si="3"/>
        <v>4</v>
      </c>
      <c r="E16" s="15" t="str">
        <f t="shared" si="4"/>
        <v>kwietnia</v>
      </c>
      <c r="F16" s="15" t="str">
        <f t="shared" si="5"/>
        <v>Q2</v>
      </c>
      <c r="G16" s="15" t="str">
        <f t="shared" si="6"/>
        <v>Spring</v>
      </c>
      <c r="H16" s="16">
        <f>weather_data!E16-weather_data!D16</f>
        <v>1</v>
      </c>
      <c r="I16" s="15">
        <f>IF(OR(weather_data!H16="light rain",weather_data!H16="moderate rain",weather_data!H16="drizzle",weather_data!H16="thunderstorm"),1,0)</f>
        <v>0</v>
      </c>
      <c r="J16" s="15">
        <f>IF(weather_data!I16&gt;=25,1,0)</f>
        <v>0</v>
      </c>
    </row>
    <row r="17">
      <c r="A17" s="13">
        <f>weather_data!B17</f>
        <v>45769.61111</v>
      </c>
      <c r="B17" s="14">
        <f t="shared" si="1"/>
        <v>45769</v>
      </c>
      <c r="C17" s="15" t="str">
        <f t="shared" si="2"/>
        <v>2025-04</v>
      </c>
      <c r="D17" s="15">
        <f t="shared" si="3"/>
        <v>4</v>
      </c>
      <c r="E17" s="15" t="str">
        <f t="shared" si="4"/>
        <v>kwietnia</v>
      </c>
      <c r="F17" s="15" t="str">
        <f t="shared" si="5"/>
        <v>Q2</v>
      </c>
      <c r="G17" s="15" t="str">
        <f t="shared" si="6"/>
        <v>Spring</v>
      </c>
      <c r="H17" s="16">
        <f>weather_data!E17-weather_data!D17</f>
        <v>-1</v>
      </c>
      <c r="I17" s="15">
        <f>IF(OR(weather_data!H17="light rain",weather_data!H17="moderate rain",weather_data!H17="drizzle",weather_data!H17="thunderstorm"),1,0)</f>
        <v>1</v>
      </c>
      <c r="J17" s="15">
        <f>IF(weather_data!I17&gt;=25,1,0)</f>
        <v>0</v>
      </c>
    </row>
    <row r="18">
      <c r="A18" s="13">
        <f>weather_data!B18</f>
        <v>45770.88889</v>
      </c>
      <c r="B18" s="14">
        <f t="shared" si="1"/>
        <v>45770</v>
      </c>
      <c r="C18" s="15" t="str">
        <f t="shared" si="2"/>
        <v>2025-04</v>
      </c>
      <c r="D18" s="15">
        <f t="shared" si="3"/>
        <v>4</v>
      </c>
      <c r="E18" s="15" t="str">
        <f t="shared" si="4"/>
        <v>kwietnia</v>
      </c>
      <c r="F18" s="15" t="str">
        <f t="shared" si="5"/>
        <v>Q2</v>
      </c>
      <c r="G18" s="15" t="str">
        <f t="shared" si="6"/>
        <v>Spring</v>
      </c>
      <c r="H18" s="16">
        <f>weather_data!E18-weather_data!D18</f>
        <v>-0.6</v>
      </c>
      <c r="I18" s="15">
        <f>IF(OR(weather_data!H18="light rain",weather_data!H18="moderate rain",weather_data!H18="drizzle",weather_data!H18="thunderstorm"),1,0)</f>
        <v>1</v>
      </c>
      <c r="J18" s="15">
        <f>IF(weather_data!I18&gt;=25,1,0)</f>
        <v>0</v>
      </c>
    </row>
    <row r="19">
      <c r="A19" s="13">
        <f>weather_data!B19</f>
        <v>45771.29167</v>
      </c>
      <c r="B19" s="14">
        <f t="shared" si="1"/>
        <v>45771</v>
      </c>
      <c r="C19" s="15" t="str">
        <f t="shared" si="2"/>
        <v>2025-04</v>
      </c>
      <c r="D19" s="15">
        <f t="shared" si="3"/>
        <v>4</v>
      </c>
      <c r="E19" s="15" t="str">
        <f t="shared" si="4"/>
        <v>kwietnia</v>
      </c>
      <c r="F19" s="15" t="str">
        <f t="shared" si="5"/>
        <v>Q2</v>
      </c>
      <c r="G19" s="15" t="str">
        <f t="shared" si="6"/>
        <v>Spring</v>
      </c>
      <c r="H19" s="16">
        <f>weather_data!E19-weather_data!D19</f>
        <v>1.2</v>
      </c>
      <c r="I19" s="15">
        <f>IF(OR(weather_data!H19="light rain",weather_data!H19="moderate rain",weather_data!H19="drizzle",weather_data!H19="thunderstorm"),1,0)</f>
        <v>0</v>
      </c>
      <c r="J19" s="15">
        <f>IF(weather_data!I19&gt;=25,1,0)</f>
        <v>0</v>
      </c>
    </row>
    <row r="20">
      <c r="A20" s="13">
        <f>weather_data!B20</f>
        <v>45772.80556</v>
      </c>
      <c r="B20" s="14">
        <f t="shared" si="1"/>
        <v>45772</v>
      </c>
      <c r="C20" s="15" t="str">
        <f t="shared" si="2"/>
        <v>2025-04</v>
      </c>
      <c r="D20" s="15">
        <f t="shared" si="3"/>
        <v>4</v>
      </c>
      <c r="E20" s="15" t="str">
        <f t="shared" si="4"/>
        <v>kwietnia</v>
      </c>
      <c r="F20" s="15" t="str">
        <f t="shared" si="5"/>
        <v>Q2</v>
      </c>
      <c r="G20" s="15" t="str">
        <f t="shared" si="6"/>
        <v>Spring</v>
      </c>
      <c r="H20" s="16">
        <f>weather_data!E20-weather_data!D20</f>
        <v>-0.4</v>
      </c>
      <c r="I20" s="15">
        <f>IF(OR(weather_data!H20="light rain",weather_data!H20="moderate rain",weather_data!H20="drizzle",weather_data!H20="thunderstorm"),1,0)</f>
        <v>0</v>
      </c>
      <c r="J20" s="15">
        <f>IF(weather_data!I20&gt;=25,1,0)</f>
        <v>0</v>
      </c>
    </row>
    <row r="21" ht="15.75" customHeight="1">
      <c r="A21" s="13">
        <f>weather_data!B21</f>
        <v>45773.29167</v>
      </c>
      <c r="B21" s="14">
        <f t="shared" si="1"/>
        <v>45773</v>
      </c>
      <c r="C21" s="15" t="str">
        <f t="shared" si="2"/>
        <v>2025-04</v>
      </c>
      <c r="D21" s="15">
        <f t="shared" si="3"/>
        <v>4</v>
      </c>
      <c r="E21" s="15" t="str">
        <f t="shared" si="4"/>
        <v>kwietnia</v>
      </c>
      <c r="F21" s="15" t="str">
        <f t="shared" si="5"/>
        <v>Q2</v>
      </c>
      <c r="G21" s="15" t="str">
        <f t="shared" si="6"/>
        <v>Spring</v>
      </c>
      <c r="H21" s="16">
        <f>weather_data!E21-weather_data!D21</f>
        <v>0.9</v>
      </c>
      <c r="I21" s="15">
        <f>IF(OR(weather_data!H21="light rain",weather_data!H21="moderate rain",weather_data!H21="drizzle",weather_data!H21="thunderstorm"),1,0)</f>
        <v>0</v>
      </c>
      <c r="J21" s="15">
        <f>IF(weather_data!I21&gt;=25,1,0)</f>
        <v>0</v>
      </c>
    </row>
    <row r="22" ht="15.75" customHeight="1">
      <c r="A22" s="13">
        <f>weather_data!B22</f>
        <v>45774.67361</v>
      </c>
      <c r="B22" s="14">
        <f t="shared" si="1"/>
        <v>45774</v>
      </c>
      <c r="C22" s="15" t="str">
        <f t="shared" si="2"/>
        <v>2025-04</v>
      </c>
      <c r="D22" s="15">
        <f t="shared" si="3"/>
        <v>4</v>
      </c>
      <c r="E22" s="15" t="str">
        <f t="shared" si="4"/>
        <v>kwietnia</v>
      </c>
      <c r="F22" s="15" t="str">
        <f t="shared" si="5"/>
        <v>Q2</v>
      </c>
      <c r="G22" s="15" t="str">
        <f t="shared" si="6"/>
        <v>Spring</v>
      </c>
      <c r="H22" s="16">
        <f>weather_data!E22-weather_data!D22</f>
        <v>1</v>
      </c>
      <c r="I22" s="15">
        <f>IF(OR(weather_data!H22="light rain",weather_data!H22="moderate rain",weather_data!H22="drizzle",weather_data!H22="thunderstorm"),1,0)</f>
        <v>0</v>
      </c>
      <c r="J22" s="15">
        <f>IF(weather_data!I22&gt;=25,1,0)</f>
        <v>0</v>
      </c>
    </row>
    <row r="23" ht="15.75" customHeight="1">
      <c r="A23" s="13">
        <f>weather_data!B23</f>
        <v>45775.59028</v>
      </c>
      <c r="B23" s="14">
        <f t="shared" si="1"/>
        <v>45775</v>
      </c>
      <c r="C23" s="15" t="str">
        <f t="shared" si="2"/>
        <v>2025-04</v>
      </c>
      <c r="D23" s="15">
        <f t="shared" si="3"/>
        <v>4</v>
      </c>
      <c r="E23" s="15" t="str">
        <f t="shared" si="4"/>
        <v>kwietnia</v>
      </c>
      <c r="F23" s="15" t="str">
        <f t="shared" si="5"/>
        <v>Q2</v>
      </c>
      <c r="G23" s="15" t="str">
        <f t="shared" si="6"/>
        <v>Spring</v>
      </c>
      <c r="H23" s="16">
        <f>weather_data!E23-weather_data!D23</f>
        <v>-1</v>
      </c>
      <c r="I23" s="15">
        <f>IF(OR(weather_data!H23="light rain",weather_data!H23="moderate rain",weather_data!H23="drizzle",weather_data!H23="thunderstorm"),1,0)</f>
        <v>0</v>
      </c>
      <c r="J23" s="15">
        <f>IF(weather_data!I23&gt;=25,1,0)</f>
        <v>0</v>
      </c>
    </row>
    <row r="24" ht="15.75" customHeight="1">
      <c r="A24" s="13">
        <f>weather_data!B24</f>
        <v>45776.86111</v>
      </c>
      <c r="B24" s="14">
        <f t="shared" si="1"/>
        <v>45776</v>
      </c>
      <c r="C24" s="15" t="str">
        <f t="shared" si="2"/>
        <v>2025-04</v>
      </c>
      <c r="D24" s="15">
        <f t="shared" si="3"/>
        <v>4</v>
      </c>
      <c r="E24" s="15" t="str">
        <f t="shared" si="4"/>
        <v>kwietnia</v>
      </c>
      <c r="F24" s="15" t="str">
        <f t="shared" si="5"/>
        <v>Q2</v>
      </c>
      <c r="G24" s="15" t="str">
        <f t="shared" si="6"/>
        <v>Spring</v>
      </c>
      <c r="H24" s="16">
        <f>weather_data!E24-weather_data!D24</f>
        <v>-0.2</v>
      </c>
      <c r="I24" s="15">
        <f>IF(OR(weather_data!H24="light rain",weather_data!H24="moderate rain",weather_data!H24="drizzle",weather_data!H24="thunderstorm"),1,0)</f>
        <v>0</v>
      </c>
      <c r="J24" s="15">
        <f>IF(weather_data!I24&gt;=25,1,0)</f>
        <v>0</v>
      </c>
    </row>
    <row r="25" ht="15.75" customHeight="1">
      <c r="A25" s="13">
        <f>weather_data!B25</f>
        <v>45777.81944</v>
      </c>
      <c r="B25" s="14">
        <f t="shared" si="1"/>
        <v>45777</v>
      </c>
      <c r="C25" s="15" t="str">
        <f t="shared" si="2"/>
        <v>2025-04</v>
      </c>
      <c r="D25" s="15">
        <f t="shared" si="3"/>
        <v>4</v>
      </c>
      <c r="E25" s="15" t="str">
        <f t="shared" si="4"/>
        <v>kwietnia</v>
      </c>
      <c r="F25" s="15" t="str">
        <f t="shared" si="5"/>
        <v>Q2</v>
      </c>
      <c r="G25" s="15" t="str">
        <f t="shared" si="6"/>
        <v>Spring</v>
      </c>
      <c r="H25" s="16">
        <f>weather_data!E25-weather_data!D25</f>
        <v>-0.2</v>
      </c>
      <c r="I25" s="15">
        <f>IF(OR(weather_data!H25="light rain",weather_data!H25="moderate rain",weather_data!H25="drizzle",weather_data!H25="thunderstorm"),1,0)</f>
        <v>0</v>
      </c>
      <c r="J25" s="15">
        <f>IF(weather_data!I25&gt;=25,1,0)</f>
        <v>0</v>
      </c>
    </row>
    <row r="26" ht="15.75" customHeight="1">
      <c r="A26" s="13">
        <f>weather_data!B26</f>
        <v>45778.25</v>
      </c>
      <c r="B26" s="14">
        <f t="shared" si="1"/>
        <v>45778</v>
      </c>
      <c r="C26" s="15" t="str">
        <f t="shared" si="2"/>
        <v>2025-05</v>
      </c>
      <c r="D26" s="15">
        <f t="shared" si="3"/>
        <v>5</v>
      </c>
      <c r="E26" s="15" t="str">
        <f t="shared" si="4"/>
        <v>maja</v>
      </c>
      <c r="F26" s="15" t="str">
        <f t="shared" si="5"/>
        <v>Q2</v>
      </c>
      <c r="G26" s="15" t="str">
        <f t="shared" si="6"/>
        <v>Spring</v>
      </c>
      <c r="H26" s="16">
        <f>weather_data!E26-weather_data!D26</f>
        <v>1.2</v>
      </c>
      <c r="I26" s="15">
        <f>IF(OR(weather_data!H26="light rain",weather_data!H26="moderate rain",weather_data!H26="drizzle",weather_data!H26="thunderstorm"),1,0)</f>
        <v>0</v>
      </c>
      <c r="J26" s="15">
        <f>IF(weather_data!I26&gt;=25,1,0)</f>
        <v>0</v>
      </c>
    </row>
    <row r="27" ht="15.75" customHeight="1">
      <c r="A27" s="13">
        <f>weather_data!B27</f>
        <v>45779.36806</v>
      </c>
      <c r="B27" s="14">
        <f t="shared" si="1"/>
        <v>45779</v>
      </c>
      <c r="C27" s="15" t="str">
        <f t="shared" si="2"/>
        <v>2025-05</v>
      </c>
      <c r="D27" s="15">
        <f t="shared" si="3"/>
        <v>5</v>
      </c>
      <c r="E27" s="15" t="str">
        <f t="shared" si="4"/>
        <v>maja</v>
      </c>
      <c r="F27" s="15" t="str">
        <f t="shared" si="5"/>
        <v>Q2</v>
      </c>
      <c r="G27" s="15" t="str">
        <f t="shared" si="6"/>
        <v>Spring</v>
      </c>
      <c r="H27" s="16">
        <f>weather_data!E27-weather_data!D27</f>
        <v>-0.1</v>
      </c>
      <c r="I27" s="15">
        <f>IF(OR(weather_data!H27="light rain",weather_data!H27="moderate rain",weather_data!H27="drizzle",weather_data!H27="thunderstorm"),1,0)</f>
        <v>0</v>
      </c>
      <c r="J27" s="15">
        <f>IF(weather_data!I27&gt;=25,1,0)</f>
        <v>0</v>
      </c>
    </row>
    <row r="28" ht="15.75" customHeight="1">
      <c r="A28" s="13">
        <f>weather_data!B28</f>
        <v>45780.44444</v>
      </c>
      <c r="B28" s="14">
        <f t="shared" si="1"/>
        <v>45780</v>
      </c>
      <c r="C28" s="15" t="str">
        <f t="shared" si="2"/>
        <v>2025-05</v>
      </c>
      <c r="D28" s="15">
        <f t="shared" si="3"/>
        <v>5</v>
      </c>
      <c r="E28" s="15" t="str">
        <f t="shared" si="4"/>
        <v>maja</v>
      </c>
      <c r="F28" s="15" t="str">
        <f t="shared" si="5"/>
        <v>Q2</v>
      </c>
      <c r="G28" s="15" t="str">
        <f t="shared" si="6"/>
        <v>Spring</v>
      </c>
      <c r="H28" s="16">
        <f>weather_data!E28-weather_data!D28</f>
        <v>-0.1</v>
      </c>
      <c r="I28" s="15">
        <f>IF(OR(weather_data!H28="light rain",weather_data!H28="moderate rain",weather_data!H28="drizzle",weather_data!H28="thunderstorm"),1,0)</f>
        <v>0</v>
      </c>
      <c r="J28" s="15">
        <f>IF(weather_data!I28&gt;=25,1,0)</f>
        <v>0</v>
      </c>
    </row>
    <row r="29" ht="15.75" customHeight="1">
      <c r="A29" s="13">
        <f>weather_data!B29</f>
        <v>45781.30556</v>
      </c>
      <c r="B29" s="14">
        <f t="shared" si="1"/>
        <v>45781</v>
      </c>
      <c r="C29" s="15" t="str">
        <f t="shared" si="2"/>
        <v>2025-05</v>
      </c>
      <c r="D29" s="15">
        <f t="shared" si="3"/>
        <v>5</v>
      </c>
      <c r="E29" s="15" t="str">
        <f t="shared" si="4"/>
        <v>maja</v>
      </c>
      <c r="F29" s="15" t="str">
        <f t="shared" si="5"/>
        <v>Q2</v>
      </c>
      <c r="G29" s="15" t="str">
        <f t="shared" si="6"/>
        <v>Spring</v>
      </c>
      <c r="H29" s="16">
        <f>weather_data!E29-weather_data!D29</f>
        <v>1.2</v>
      </c>
      <c r="I29" s="15">
        <f>IF(OR(weather_data!H29="light rain",weather_data!H29="moderate rain",weather_data!H29="drizzle",weather_data!H29="thunderstorm"),1,0)</f>
        <v>0</v>
      </c>
      <c r="J29" s="15">
        <f>IF(weather_data!I29&gt;=25,1,0)</f>
        <v>0</v>
      </c>
    </row>
    <row r="30" ht="15.75" customHeight="1">
      <c r="A30" s="13">
        <f>weather_data!B30</f>
        <v>45782.4375</v>
      </c>
      <c r="B30" s="14">
        <f t="shared" si="1"/>
        <v>45782</v>
      </c>
      <c r="C30" s="15" t="str">
        <f t="shared" si="2"/>
        <v>2025-05</v>
      </c>
      <c r="D30" s="15">
        <f t="shared" si="3"/>
        <v>5</v>
      </c>
      <c r="E30" s="15" t="str">
        <f t="shared" si="4"/>
        <v>maja</v>
      </c>
      <c r="F30" s="15" t="str">
        <f t="shared" si="5"/>
        <v>Q2</v>
      </c>
      <c r="G30" s="15" t="str">
        <f t="shared" si="6"/>
        <v>Spring</v>
      </c>
      <c r="H30" s="16">
        <f>weather_data!E30-weather_data!D30</f>
        <v>-0.8</v>
      </c>
      <c r="I30" s="15">
        <f>IF(OR(weather_data!H30="light rain",weather_data!H30="moderate rain",weather_data!H30="drizzle",weather_data!H30="thunderstorm"),1,0)</f>
        <v>0</v>
      </c>
      <c r="J30" s="15">
        <f>IF(weather_data!I30&gt;=25,1,0)</f>
        <v>0</v>
      </c>
    </row>
    <row r="31" ht="15.75" customHeight="1">
      <c r="A31" s="13">
        <f>weather_data!B31</f>
        <v>45783.41667</v>
      </c>
      <c r="B31" s="14">
        <f t="shared" si="1"/>
        <v>45783</v>
      </c>
      <c r="C31" s="15" t="str">
        <f t="shared" si="2"/>
        <v>2025-05</v>
      </c>
      <c r="D31" s="15">
        <f t="shared" si="3"/>
        <v>5</v>
      </c>
      <c r="E31" s="15" t="str">
        <f t="shared" si="4"/>
        <v>maja</v>
      </c>
      <c r="F31" s="15" t="str">
        <f t="shared" si="5"/>
        <v>Q2</v>
      </c>
      <c r="G31" s="15" t="str">
        <f t="shared" si="6"/>
        <v>Spring</v>
      </c>
      <c r="H31" s="16">
        <f>weather_data!E31-weather_data!D31</f>
        <v>1</v>
      </c>
      <c r="I31" s="15">
        <f>IF(OR(weather_data!H31="light rain",weather_data!H31="moderate rain",weather_data!H31="drizzle",weather_data!H31="thunderstorm"),1,0)</f>
        <v>0</v>
      </c>
      <c r="J31" s="15">
        <f>IF(weather_data!I31&gt;=25,1,0)</f>
        <v>0</v>
      </c>
    </row>
    <row r="32" ht="15.75" customHeight="1">
      <c r="A32" s="13">
        <f>weather_data!B32</f>
        <v>45784.63889</v>
      </c>
      <c r="B32" s="14">
        <f t="shared" si="1"/>
        <v>45784</v>
      </c>
      <c r="C32" s="15" t="str">
        <f t="shared" si="2"/>
        <v>2025-05</v>
      </c>
      <c r="D32" s="15">
        <f t="shared" si="3"/>
        <v>5</v>
      </c>
      <c r="E32" s="15" t="str">
        <f t="shared" si="4"/>
        <v>maja</v>
      </c>
      <c r="F32" s="15" t="str">
        <f t="shared" si="5"/>
        <v>Q2</v>
      </c>
      <c r="G32" s="15" t="str">
        <f t="shared" si="6"/>
        <v>Spring</v>
      </c>
      <c r="H32" s="16">
        <f>weather_data!E32-weather_data!D32</f>
        <v>0.1</v>
      </c>
      <c r="I32" s="15">
        <f>IF(OR(weather_data!H32="light rain",weather_data!H32="moderate rain",weather_data!H32="drizzle",weather_data!H32="thunderstorm"),1,0)</f>
        <v>0</v>
      </c>
      <c r="J32" s="15">
        <f>IF(weather_data!I32&gt;=25,1,0)</f>
        <v>0</v>
      </c>
    </row>
    <row r="33" ht="15.75" customHeight="1">
      <c r="A33" s="13">
        <f>weather_data!B33</f>
        <v>45785.30556</v>
      </c>
      <c r="B33" s="14">
        <f t="shared" si="1"/>
        <v>45785</v>
      </c>
      <c r="C33" s="15" t="str">
        <f t="shared" si="2"/>
        <v>2025-05</v>
      </c>
      <c r="D33" s="15">
        <f t="shared" si="3"/>
        <v>5</v>
      </c>
      <c r="E33" s="15" t="str">
        <f t="shared" si="4"/>
        <v>maja</v>
      </c>
      <c r="F33" s="15" t="str">
        <f t="shared" si="5"/>
        <v>Q2</v>
      </c>
      <c r="G33" s="15" t="str">
        <f t="shared" si="6"/>
        <v>Spring</v>
      </c>
      <c r="H33" s="16">
        <f>weather_data!E33-weather_data!D33</f>
        <v>0.4</v>
      </c>
      <c r="I33" s="15">
        <f>IF(OR(weather_data!H33="light rain",weather_data!H33="moderate rain",weather_data!H33="drizzle",weather_data!H33="thunderstorm"),1,0)</f>
        <v>0</v>
      </c>
      <c r="J33" s="15">
        <f>IF(weather_data!I33&gt;=25,1,0)</f>
        <v>0</v>
      </c>
    </row>
    <row r="34" ht="15.75" customHeight="1">
      <c r="A34" s="13">
        <f>weather_data!B34</f>
        <v>45786.53472</v>
      </c>
      <c r="B34" s="14">
        <f t="shared" si="1"/>
        <v>45786</v>
      </c>
      <c r="C34" s="15" t="str">
        <f t="shared" si="2"/>
        <v>2025-05</v>
      </c>
      <c r="D34" s="15">
        <f t="shared" si="3"/>
        <v>5</v>
      </c>
      <c r="E34" s="15" t="str">
        <f t="shared" si="4"/>
        <v>maja</v>
      </c>
      <c r="F34" s="15" t="str">
        <f t="shared" si="5"/>
        <v>Q2</v>
      </c>
      <c r="G34" s="15" t="str">
        <f t="shared" si="6"/>
        <v>Spring</v>
      </c>
      <c r="H34" s="16">
        <f>weather_data!E34-weather_data!D34</f>
        <v>1.2</v>
      </c>
      <c r="I34" s="15">
        <f>IF(OR(weather_data!H34="light rain",weather_data!H34="moderate rain",weather_data!H34="drizzle",weather_data!H34="thunderstorm"),1,0)</f>
        <v>0</v>
      </c>
      <c r="J34" s="15">
        <f>IF(weather_data!I34&gt;=25,1,0)</f>
        <v>0</v>
      </c>
    </row>
    <row r="35" ht="15.75" customHeight="1">
      <c r="A35" s="13">
        <f>weather_data!B35</f>
        <v>45787.57639</v>
      </c>
      <c r="B35" s="14">
        <f t="shared" si="1"/>
        <v>45787</v>
      </c>
      <c r="C35" s="15" t="str">
        <f t="shared" si="2"/>
        <v>2025-05</v>
      </c>
      <c r="D35" s="15">
        <f t="shared" si="3"/>
        <v>5</v>
      </c>
      <c r="E35" s="15" t="str">
        <f t="shared" si="4"/>
        <v>maja</v>
      </c>
      <c r="F35" s="15" t="str">
        <f t="shared" si="5"/>
        <v>Q2</v>
      </c>
      <c r="G35" s="15" t="str">
        <f t="shared" si="6"/>
        <v>Spring</v>
      </c>
      <c r="H35" s="16">
        <f>weather_data!E35-weather_data!D35</f>
        <v>-0.3</v>
      </c>
      <c r="I35" s="15">
        <f>IF(OR(weather_data!H35="light rain",weather_data!H35="moderate rain",weather_data!H35="drizzle",weather_data!H35="thunderstorm"),1,0)</f>
        <v>0</v>
      </c>
      <c r="J35" s="15">
        <f>IF(weather_data!I35&gt;=25,1,0)</f>
        <v>0</v>
      </c>
    </row>
    <row r="36" ht="15.75" customHeight="1">
      <c r="A36" s="13">
        <f>weather_data!B36</f>
        <v>45788.38889</v>
      </c>
      <c r="B36" s="14">
        <f t="shared" si="1"/>
        <v>45788</v>
      </c>
      <c r="C36" s="15" t="str">
        <f t="shared" si="2"/>
        <v>2025-05</v>
      </c>
      <c r="D36" s="15">
        <f t="shared" si="3"/>
        <v>5</v>
      </c>
      <c r="E36" s="15" t="str">
        <f t="shared" si="4"/>
        <v>maja</v>
      </c>
      <c r="F36" s="15" t="str">
        <f t="shared" si="5"/>
        <v>Q2</v>
      </c>
      <c r="G36" s="15" t="str">
        <f t="shared" si="6"/>
        <v>Spring</v>
      </c>
      <c r="H36" s="16">
        <f>weather_data!E36-weather_data!D36</f>
        <v>0.7</v>
      </c>
      <c r="I36" s="15">
        <f>IF(OR(weather_data!H36="light rain",weather_data!H36="moderate rain",weather_data!H36="drizzle",weather_data!H36="thunderstorm"),1,0)</f>
        <v>0</v>
      </c>
      <c r="J36" s="15">
        <f>IF(weather_data!I36&gt;=25,1,0)</f>
        <v>0</v>
      </c>
    </row>
    <row r="37" ht="15.75" customHeight="1">
      <c r="A37" s="13">
        <f>weather_data!B37</f>
        <v>45789.81944</v>
      </c>
      <c r="B37" s="14">
        <f t="shared" si="1"/>
        <v>45789</v>
      </c>
      <c r="C37" s="15" t="str">
        <f t="shared" si="2"/>
        <v>2025-05</v>
      </c>
      <c r="D37" s="15">
        <f t="shared" si="3"/>
        <v>5</v>
      </c>
      <c r="E37" s="15" t="str">
        <f t="shared" si="4"/>
        <v>maja</v>
      </c>
      <c r="F37" s="15" t="str">
        <f t="shared" si="5"/>
        <v>Q2</v>
      </c>
      <c r="G37" s="15" t="str">
        <f t="shared" si="6"/>
        <v>Spring</v>
      </c>
      <c r="H37" s="16">
        <f>weather_data!E37-weather_data!D37</f>
        <v>-0.7</v>
      </c>
      <c r="I37" s="15">
        <f>IF(OR(weather_data!H37="light rain",weather_data!H37="moderate rain",weather_data!H37="drizzle",weather_data!H37="thunderstorm"),1,0)</f>
        <v>1</v>
      </c>
      <c r="J37" s="15">
        <f>IF(weather_data!I37&gt;=25,1,0)</f>
        <v>0</v>
      </c>
    </row>
    <row r="38" ht="15.75" customHeight="1">
      <c r="A38" s="13">
        <f>weather_data!B38</f>
        <v>45790.42361</v>
      </c>
      <c r="B38" s="14">
        <f t="shared" si="1"/>
        <v>45790</v>
      </c>
      <c r="C38" s="15" t="str">
        <f t="shared" si="2"/>
        <v>2025-05</v>
      </c>
      <c r="D38" s="15">
        <f t="shared" si="3"/>
        <v>5</v>
      </c>
      <c r="E38" s="15" t="str">
        <f t="shared" si="4"/>
        <v>maja</v>
      </c>
      <c r="F38" s="15" t="str">
        <f t="shared" si="5"/>
        <v>Q2</v>
      </c>
      <c r="G38" s="15" t="str">
        <f t="shared" si="6"/>
        <v>Spring</v>
      </c>
      <c r="H38" s="16">
        <f>weather_data!E38-weather_data!D38</f>
        <v>1</v>
      </c>
      <c r="I38" s="15">
        <f>IF(OR(weather_data!H38="light rain",weather_data!H38="moderate rain",weather_data!H38="drizzle",weather_data!H38="thunderstorm"),1,0)</f>
        <v>0</v>
      </c>
      <c r="J38" s="15">
        <f>IF(weather_data!I38&gt;=25,1,0)</f>
        <v>0</v>
      </c>
    </row>
    <row r="39" ht="15.75" customHeight="1">
      <c r="A39" s="13">
        <f>weather_data!B39</f>
        <v>45791.46528</v>
      </c>
      <c r="B39" s="14">
        <f t="shared" si="1"/>
        <v>45791</v>
      </c>
      <c r="C39" s="15" t="str">
        <f t="shared" si="2"/>
        <v>2025-05</v>
      </c>
      <c r="D39" s="15">
        <f t="shared" si="3"/>
        <v>5</v>
      </c>
      <c r="E39" s="15" t="str">
        <f t="shared" si="4"/>
        <v>maja</v>
      </c>
      <c r="F39" s="15" t="str">
        <f t="shared" si="5"/>
        <v>Q2</v>
      </c>
      <c r="G39" s="15" t="str">
        <f t="shared" si="6"/>
        <v>Spring</v>
      </c>
      <c r="H39" s="16">
        <f>weather_data!E39-weather_data!D39</f>
        <v>-0.9</v>
      </c>
      <c r="I39" s="15">
        <f>IF(OR(weather_data!H39="light rain",weather_data!H39="moderate rain",weather_data!H39="drizzle",weather_data!H39="thunderstorm"),1,0)</f>
        <v>0</v>
      </c>
      <c r="J39" s="15">
        <f>IF(weather_data!I39&gt;=25,1,0)</f>
        <v>0</v>
      </c>
    </row>
    <row r="40" ht="15.75" customHeight="1">
      <c r="A40" s="13">
        <f>weather_data!B40</f>
        <v>45792.79167</v>
      </c>
      <c r="B40" s="14">
        <f t="shared" si="1"/>
        <v>45792</v>
      </c>
      <c r="C40" s="15" t="str">
        <f t="shared" si="2"/>
        <v>2025-05</v>
      </c>
      <c r="D40" s="15">
        <f t="shared" si="3"/>
        <v>5</v>
      </c>
      <c r="E40" s="15" t="str">
        <f t="shared" si="4"/>
        <v>maja</v>
      </c>
      <c r="F40" s="15" t="str">
        <f t="shared" si="5"/>
        <v>Q2</v>
      </c>
      <c r="G40" s="15" t="str">
        <f t="shared" si="6"/>
        <v>Spring</v>
      </c>
      <c r="H40" s="16">
        <f>weather_data!E40-weather_data!D40</f>
        <v>0.4</v>
      </c>
      <c r="I40" s="15">
        <f>IF(OR(weather_data!H40="light rain",weather_data!H40="moderate rain",weather_data!H40="drizzle",weather_data!H40="thunderstorm"),1,0)</f>
        <v>0</v>
      </c>
      <c r="J40" s="15">
        <f>IF(weather_data!I40&gt;=25,1,0)</f>
        <v>0</v>
      </c>
    </row>
    <row r="41" ht="15.75" customHeight="1">
      <c r="A41" s="13">
        <f>weather_data!B41</f>
        <v>45793.49306</v>
      </c>
      <c r="B41" s="14">
        <f t="shared" si="1"/>
        <v>45793</v>
      </c>
      <c r="C41" s="15" t="str">
        <f t="shared" si="2"/>
        <v>2025-05</v>
      </c>
      <c r="D41" s="15">
        <f t="shared" si="3"/>
        <v>5</v>
      </c>
      <c r="E41" s="15" t="str">
        <f t="shared" si="4"/>
        <v>maja</v>
      </c>
      <c r="F41" s="15" t="str">
        <f t="shared" si="5"/>
        <v>Q2</v>
      </c>
      <c r="G41" s="15" t="str">
        <f t="shared" si="6"/>
        <v>Spring</v>
      </c>
      <c r="H41" s="16">
        <f>weather_data!E41-weather_data!D41</f>
        <v>-1.1</v>
      </c>
      <c r="I41" s="15">
        <f>IF(OR(weather_data!H41="light rain",weather_data!H41="moderate rain",weather_data!H41="drizzle",weather_data!H41="thunderstorm"),1,0)</f>
        <v>0</v>
      </c>
      <c r="J41" s="15">
        <f>IF(weather_data!I41&gt;=25,1,0)</f>
        <v>0</v>
      </c>
    </row>
    <row r="42" ht="15.75" customHeight="1">
      <c r="A42" s="13">
        <f>weather_data!B42</f>
        <v>45794.6875</v>
      </c>
      <c r="B42" s="14">
        <f t="shared" si="1"/>
        <v>45794</v>
      </c>
      <c r="C42" s="15" t="str">
        <f t="shared" si="2"/>
        <v>2025-05</v>
      </c>
      <c r="D42" s="15">
        <f t="shared" si="3"/>
        <v>5</v>
      </c>
      <c r="E42" s="15" t="str">
        <f t="shared" si="4"/>
        <v>maja</v>
      </c>
      <c r="F42" s="15" t="str">
        <f t="shared" si="5"/>
        <v>Q2</v>
      </c>
      <c r="G42" s="15" t="str">
        <f t="shared" si="6"/>
        <v>Spring</v>
      </c>
      <c r="H42" s="16">
        <f>weather_data!E42-weather_data!D42</f>
        <v>0.4</v>
      </c>
      <c r="I42" s="15">
        <f>IF(OR(weather_data!H42="light rain",weather_data!H42="moderate rain",weather_data!H42="drizzle",weather_data!H42="thunderstorm"),1,0)</f>
        <v>0</v>
      </c>
      <c r="J42" s="15">
        <f>IF(weather_data!I42&gt;=25,1,0)</f>
        <v>0</v>
      </c>
    </row>
    <row r="43" ht="15.75" customHeight="1">
      <c r="A43" s="13">
        <f>weather_data!B43</f>
        <v>45795.55556</v>
      </c>
      <c r="B43" s="14">
        <f t="shared" si="1"/>
        <v>45795</v>
      </c>
      <c r="C43" s="15" t="str">
        <f t="shared" si="2"/>
        <v>2025-05</v>
      </c>
      <c r="D43" s="15">
        <f t="shared" si="3"/>
        <v>5</v>
      </c>
      <c r="E43" s="15" t="str">
        <f t="shared" si="4"/>
        <v>maja</v>
      </c>
      <c r="F43" s="15" t="str">
        <f t="shared" si="5"/>
        <v>Q2</v>
      </c>
      <c r="G43" s="15" t="str">
        <f t="shared" si="6"/>
        <v>Spring</v>
      </c>
      <c r="H43" s="16">
        <f>weather_data!E43-weather_data!D43</f>
        <v>-0.6</v>
      </c>
      <c r="I43" s="15">
        <f>IF(OR(weather_data!H43="light rain",weather_data!H43="moderate rain",weather_data!H43="drizzle",weather_data!H43="thunderstorm"),1,0)</f>
        <v>0</v>
      </c>
      <c r="J43" s="15">
        <f>IF(weather_data!I43&gt;=25,1,0)</f>
        <v>0</v>
      </c>
    </row>
    <row r="44" ht="15.75" customHeight="1">
      <c r="A44" s="13">
        <f>weather_data!B44</f>
        <v>45796.49306</v>
      </c>
      <c r="B44" s="14">
        <f t="shared" si="1"/>
        <v>45796</v>
      </c>
      <c r="C44" s="15" t="str">
        <f t="shared" si="2"/>
        <v>2025-05</v>
      </c>
      <c r="D44" s="15">
        <f t="shared" si="3"/>
        <v>5</v>
      </c>
      <c r="E44" s="15" t="str">
        <f t="shared" si="4"/>
        <v>maja</v>
      </c>
      <c r="F44" s="15" t="str">
        <f t="shared" si="5"/>
        <v>Q2</v>
      </c>
      <c r="G44" s="15" t="str">
        <f t="shared" si="6"/>
        <v>Spring</v>
      </c>
      <c r="H44" s="16">
        <f>weather_data!E44-weather_data!D44</f>
        <v>0.6</v>
      </c>
      <c r="I44" s="15">
        <f>IF(OR(weather_data!H44="light rain",weather_data!H44="moderate rain",weather_data!H44="drizzle",weather_data!H44="thunderstorm"),1,0)</f>
        <v>1</v>
      </c>
      <c r="J44" s="15">
        <f>IF(weather_data!I44&gt;=25,1,0)</f>
        <v>0</v>
      </c>
    </row>
    <row r="45" ht="15.75" customHeight="1">
      <c r="A45" s="13">
        <f>weather_data!B45</f>
        <v>45797.39583</v>
      </c>
      <c r="B45" s="14">
        <f t="shared" si="1"/>
        <v>45797</v>
      </c>
      <c r="C45" s="15" t="str">
        <f t="shared" si="2"/>
        <v>2025-05</v>
      </c>
      <c r="D45" s="15">
        <f t="shared" si="3"/>
        <v>5</v>
      </c>
      <c r="E45" s="15" t="str">
        <f t="shared" si="4"/>
        <v>maja</v>
      </c>
      <c r="F45" s="15" t="str">
        <f t="shared" si="5"/>
        <v>Q2</v>
      </c>
      <c r="G45" s="15" t="str">
        <f t="shared" si="6"/>
        <v>Spring</v>
      </c>
      <c r="H45" s="16">
        <f>weather_data!E45-weather_data!D45</f>
        <v>0.8</v>
      </c>
      <c r="I45" s="15">
        <f>IF(OR(weather_data!H45="light rain",weather_data!H45="moderate rain",weather_data!H45="drizzle",weather_data!H45="thunderstorm"),1,0)</f>
        <v>1</v>
      </c>
      <c r="J45" s="15">
        <f>IF(weather_data!I45&gt;=25,1,0)</f>
        <v>1</v>
      </c>
    </row>
    <row r="46" ht="15.75" customHeight="1">
      <c r="A46" s="13">
        <f>weather_data!B46</f>
        <v>45798.3125</v>
      </c>
      <c r="B46" s="14">
        <f t="shared" si="1"/>
        <v>45798</v>
      </c>
      <c r="C46" s="15" t="str">
        <f t="shared" si="2"/>
        <v>2025-05</v>
      </c>
      <c r="D46" s="15">
        <f t="shared" si="3"/>
        <v>5</v>
      </c>
      <c r="E46" s="15" t="str">
        <f t="shared" si="4"/>
        <v>maja</v>
      </c>
      <c r="F46" s="15" t="str">
        <f t="shared" si="5"/>
        <v>Q2</v>
      </c>
      <c r="G46" s="15" t="str">
        <f t="shared" si="6"/>
        <v>Spring</v>
      </c>
      <c r="H46" s="16">
        <f>weather_data!E46-weather_data!D46</f>
        <v>-1.1</v>
      </c>
      <c r="I46" s="15">
        <f>IF(OR(weather_data!H46="light rain",weather_data!H46="moderate rain",weather_data!H46="drizzle",weather_data!H46="thunderstorm"),1,0)</f>
        <v>0</v>
      </c>
      <c r="J46" s="15">
        <f>IF(weather_data!I46&gt;=25,1,0)</f>
        <v>0</v>
      </c>
    </row>
    <row r="47" ht="15.75" customHeight="1">
      <c r="A47" s="13">
        <f>weather_data!B47</f>
        <v>45799.54861</v>
      </c>
      <c r="B47" s="14">
        <f t="shared" si="1"/>
        <v>45799</v>
      </c>
      <c r="C47" s="15" t="str">
        <f t="shared" si="2"/>
        <v>2025-05</v>
      </c>
      <c r="D47" s="15">
        <f t="shared" si="3"/>
        <v>5</v>
      </c>
      <c r="E47" s="15" t="str">
        <f t="shared" si="4"/>
        <v>maja</v>
      </c>
      <c r="F47" s="15" t="str">
        <f t="shared" si="5"/>
        <v>Q2</v>
      </c>
      <c r="G47" s="15" t="str">
        <f t="shared" si="6"/>
        <v>Spring</v>
      </c>
      <c r="H47" s="16">
        <f>weather_data!E47-weather_data!D47</f>
        <v>0.9</v>
      </c>
      <c r="I47" s="15">
        <f>IF(OR(weather_data!H47="light rain",weather_data!H47="moderate rain",weather_data!H47="drizzle",weather_data!H47="thunderstorm"),1,0)</f>
        <v>0</v>
      </c>
      <c r="J47" s="15">
        <f>IF(weather_data!I47&gt;=25,1,0)</f>
        <v>0</v>
      </c>
    </row>
    <row r="48" ht="15.75" customHeight="1">
      <c r="A48" s="13">
        <f>weather_data!B48</f>
        <v>45800.84722</v>
      </c>
      <c r="B48" s="14">
        <f t="shared" si="1"/>
        <v>45800</v>
      </c>
      <c r="C48" s="15" t="str">
        <f t="shared" si="2"/>
        <v>2025-05</v>
      </c>
      <c r="D48" s="15">
        <f t="shared" si="3"/>
        <v>5</v>
      </c>
      <c r="E48" s="15" t="str">
        <f t="shared" si="4"/>
        <v>maja</v>
      </c>
      <c r="F48" s="15" t="str">
        <f t="shared" si="5"/>
        <v>Q2</v>
      </c>
      <c r="G48" s="15" t="str">
        <f t="shared" si="6"/>
        <v>Spring</v>
      </c>
      <c r="H48" s="16">
        <f>weather_data!E48-weather_data!D48</f>
        <v>-0.1</v>
      </c>
      <c r="I48" s="15">
        <f>IF(OR(weather_data!H48="light rain",weather_data!H48="moderate rain",weather_data!H48="drizzle",weather_data!H48="thunderstorm"),1,0)</f>
        <v>0</v>
      </c>
      <c r="J48" s="15">
        <f>IF(weather_data!I48&gt;=25,1,0)</f>
        <v>0</v>
      </c>
    </row>
    <row r="49" ht="15.75" customHeight="1">
      <c r="A49" s="13">
        <f>weather_data!B49</f>
        <v>45801.63194</v>
      </c>
      <c r="B49" s="14">
        <f t="shared" si="1"/>
        <v>45801</v>
      </c>
      <c r="C49" s="15" t="str">
        <f t="shared" si="2"/>
        <v>2025-05</v>
      </c>
      <c r="D49" s="15">
        <f t="shared" si="3"/>
        <v>5</v>
      </c>
      <c r="E49" s="15" t="str">
        <f t="shared" si="4"/>
        <v>maja</v>
      </c>
      <c r="F49" s="15" t="str">
        <f t="shared" si="5"/>
        <v>Q2</v>
      </c>
      <c r="G49" s="15" t="str">
        <f t="shared" si="6"/>
        <v>Spring</v>
      </c>
      <c r="H49" s="16">
        <f>weather_data!E49-weather_data!D49</f>
        <v>1.1</v>
      </c>
      <c r="I49" s="15">
        <f>IF(OR(weather_data!H49="light rain",weather_data!H49="moderate rain",weather_data!H49="drizzle",weather_data!H49="thunderstorm"),1,0)</f>
        <v>1</v>
      </c>
      <c r="J49" s="15">
        <f>IF(weather_data!I49&gt;=25,1,0)</f>
        <v>0</v>
      </c>
    </row>
    <row r="50" ht="15.75" customHeight="1">
      <c r="A50" s="13">
        <f>weather_data!B50</f>
        <v>45802.54167</v>
      </c>
      <c r="B50" s="14">
        <f t="shared" si="1"/>
        <v>45802</v>
      </c>
      <c r="C50" s="15" t="str">
        <f t="shared" si="2"/>
        <v>2025-05</v>
      </c>
      <c r="D50" s="15">
        <f t="shared" si="3"/>
        <v>5</v>
      </c>
      <c r="E50" s="15" t="str">
        <f t="shared" si="4"/>
        <v>maja</v>
      </c>
      <c r="F50" s="15" t="str">
        <f t="shared" si="5"/>
        <v>Q2</v>
      </c>
      <c r="G50" s="15" t="str">
        <f t="shared" si="6"/>
        <v>Spring</v>
      </c>
      <c r="H50" s="16">
        <f>weather_data!E50-weather_data!D50</f>
        <v>-0.9</v>
      </c>
      <c r="I50" s="15">
        <f>IF(OR(weather_data!H50="light rain",weather_data!H50="moderate rain",weather_data!H50="drizzle",weather_data!H50="thunderstorm"),1,0)</f>
        <v>0</v>
      </c>
      <c r="J50" s="15">
        <f>IF(weather_data!I50&gt;=25,1,0)</f>
        <v>0</v>
      </c>
    </row>
    <row r="51" ht="15.75" customHeight="1">
      <c r="A51" s="13">
        <f>weather_data!B51</f>
        <v>45803.52083</v>
      </c>
      <c r="B51" s="14">
        <f t="shared" si="1"/>
        <v>45803</v>
      </c>
      <c r="C51" s="15" t="str">
        <f t="shared" si="2"/>
        <v>2025-05</v>
      </c>
      <c r="D51" s="15">
        <f t="shared" si="3"/>
        <v>5</v>
      </c>
      <c r="E51" s="15" t="str">
        <f t="shared" si="4"/>
        <v>maja</v>
      </c>
      <c r="F51" s="15" t="str">
        <f t="shared" si="5"/>
        <v>Q2</v>
      </c>
      <c r="G51" s="15" t="str">
        <f t="shared" si="6"/>
        <v>Spring</v>
      </c>
      <c r="H51" s="16">
        <f>weather_data!E51-weather_data!D51</f>
        <v>0.4</v>
      </c>
      <c r="I51" s="15">
        <f>IF(OR(weather_data!H51="light rain",weather_data!H51="moderate rain",weather_data!H51="drizzle",weather_data!H51="thunderstorm"),1,0)</f>
        <v>0</v>
      </c>
      <c r="J51" s="15">
        <f>IF(weather_data!I51&gt;=25,1,0)</f>
        <v>0</v>
      </c>
    </row>
    <row r="52" ht="15.75" customHeight="1">
      <c r="A52" s="13">
        <f>weather_data!B52</f>
        <v>45804.68056</v>
      </c>
      <c r="B52" s="14">
        <f t="shared" si="1"/>
        <v>45804</v>
      </c>
      <c r="C52" s="15" t="str">
        <f t="shared" si="2"/>
        <v>2025-05</v>
      </c>
      <c r="D52" s="15">
        <f t="shared" si="3"/>
        <v>5</v>
      </c>
      <c r="E52" s="15" t="str">
        <f t="shared" si="4"/>
        <v>maja</v>
      </c>
      <c r="F52" s="15" t="str">
        <f t="shared" si="5"/>
        <v>Q2</v>
      </c>
      <c r="G52" s="15" t="str">
        <f t="shared" si="6"/>
        <v>Spring</v>
      </c>
      <c r="H52" s="16">
        <f>weather_data!E52-weather_data!D52</f>
        <v>0.8</v>
      </c>
      <c r="I52" s="15">
        <f>IF(OR(weather_data!H52="light rain",weather_data!H52="moderate rain",weather_data!H52="drizzle",weather_data!H52="thunderstorm"),1,0)</f>
        <v>0</v>
      </c>
      <c r="J52" s="15">
        <f>IF(weather_data!I52&gt;=25,1,0)</f>
        <v>0</v>
      </c>
    </row>
    <row r="53" ht="15.75" customHeight="1">
      <c r="A53" s="13">
        <f>weather_data!B53</f>
        <v>45805.34722</v>
      </c>
      <c r="B53" s="14">
        <f t="shared" si="1"/>
        <v>45805</v>
      </c>
      <c r="C53" s="15" t="str">
        <f t="shared" si="2"/>
        <v>2025-05</v>
      </c>
      <c r="D53" s="15">
        <f t="shared" si="3"/>
        <v>5</v>
      </c>
      <c r="E53" s="15" t="str">
        <f t="shared" si="4"/>
        <v>maja</v>
      </c>
      <c r="F53" s="15" t="str">
        <f t="shared" si="5"/>
        <v>Q2</v>
      </c>
      <c r="G53" s="15" t="str">
        <f t="shared" si="6"/>
        <v>Spring</v>
      </c>
      <c r="H53" s="16">
        <f>weather_data!E53-weather_data!D53</f>
        <v>-0.1</v>
      </c>
      <c r="I53" s="15">
        <f>IF(OR(weather_data!H53="light rain",weather_data!H53="moderate rain",weather_data!H53="drizzle",weather_data!H53="thunderstorm"),1,0)</f>
        <v>0</v>
      </c>
      <c r="J53" s="15">
        <f>IF(weather_data!I53&gt;=25,1,0)</f>
        <v>0</v>
      </c>
    </row>
    <row r="54" ht="15.75" customHeight="1">
      <c r="A54" s="13">
        <f>weather_data!B54</f>
        <v>45806.74306</v>
      </c>
      <c r="B54" s="14">
        <f t="shared" si="1"/>
        <v>45806</v>
      </c>
      <c r="C54" s="15" t="str">
        <f t="shared" si="2"/>
        <v>2025-05</v>
      </c>
      <c r="D54" s="15">
        <f t="shared" si="3"/>
        <v>5</v>
      </c>
      <c r="E54" s="15" t="str">
        <f t="shared" si="4"/>
        <v>maja</v>
      </c>
      <c r="F54" s="15" t="str">
        <f t="shared" si="5"/>
        <v>Q2</v>
      </c>
      <c r="G54" s="15" t="str">
        <f t="shared" si="6"/>
        <v>Spring</v>
      </c>
      <c r="H54" s="16">
        <f>weather_data!E54-weather_data!D54</f>
        <v>0.4</v>
      </c>
      <c r="I54" s="15">
        <f>IF(OR(weather_data!H54="light rain",weather_data!H54="moderate rain",weather_data!H54="drizzle",weather_data!H54="thunderstorm"),1,0)</f>
        <v>0</v>
      </c>
      <c r="J54" s="15">
        <f>IF(weather_data!I54&gt;=25,1,0)</f>
        <v>1</v>
      </c>
    </row>
    <row r="55" ht="15.75" customHeight="1">
      <c r="A55" s="13">
        <f>weather_data!B55</f>
        <v>45808.78472</v>
      </c>
      <c r="B55" s="14">
        <f t="shared" si="1"/>
        <v>45808</v>
      </c>
      <c r="C55" s="15" t="str">
        <f t="shared" si="2"/>
        <v>2025-05</v>
      </c>
      <c r="D55" s="15">
        <f t="shared" si="3"/>
        <v>5</v>
      </c>
      <c r="E55" s="15" t="str">
        <f t="shared" si="4"/>
        <v>maja</v>
      </c>
      <c r="F55" s="15" t="str">
        <f t="shared" si="5"/>
        <v>Q2</v>
      </c>
      <c r="G55" s="15" t="str">
        <f t="shared" si="6"/>
        <v>Spring</v>
      </c>
      <c r="H55" s="16">
        <f>weather_data!E55-weather_data!D55</f>
        <v>0.8</v>
      </c>
      <c r="I55" s="15">
        <f>IF(OR(weather_data!H55="light rain",weather_data!H55="moderate rain",weather_data!H55="drizzle",weather_data!H55="thunderstorm"),1,0)</f>
        <v>0</v>
      </c>
      <c r="J55" s="15">
        <f>IF(weather_data!I55&gt;=25,1,0)</f>
        <v>0</v>
      </c>
    </row>
    <row r="56" ht="15.75" customHeight="1">
      <c r="A56" s="13">
        <f>weather_data!B56</f>
        <v>45809.66667</v>
      </c>
      <c r="B56" s="14">
        <f t="shared" si="1"/>
        <v>45809</v>
      </c>
      <c r="C56" s="15" t="str">
        <f t="shared" si="2"/>
        <v>2025-06</v>
      </c>
      <c r="D56" s="15">
        <f t="shared" si="3"/>
        <v>6</v>
      </c>
      <c r="E56" s="15" t="str">
        <f t="shared" si="4"/>
        <v>czerwca</v>
      </c>
      <c r="F56" s="15" t="str">
        <f t="shared" si="5"/>
        <v>Q2</v>
      </c>
      <c r="G56" s="15" t="str">
        <f t="shared" si="6"/>
        <v>Summer</v>
      </c>
      <c r="H56" s="16">
        <f>weather_data!E56-weather_data!D56</f>
        <v>0.2</v>
      </c>
      <c r="I56" s="15">
        <f>IF(OR(weather_data!H56="light rain",weather_data!H56="moderate rain",weather_data!H56="drizzle",weather_data!H56="thunderstorm"),1,0)</f>
        <v>0</v>
      </c>
      <c r="J56" s="15">
        <f>IF(weather_data!I56&gt;=25,1,0)</f>
        <v>0</v>
      </c>
    </row>
    <row r="57" ht="15.75" customHeight="1">
      <c r="A57" s="13">
        <f>weather_data!B57</f>
        <v>45810.38889</v>
      </c>
      <c r="B57" s="14">
        <f t="shared" si="1"/>
        <v>45810</v>
      </c>
      <c r="C57" s="15" t="str">
        <f t="shared" si="2"/>
        <v>2025-06</v>
      </c>
      <c r="D57" s="15">
        <f t="shared" si="3"/>
        <v>6</v>
      </c>
      <c r="E57" s="15" t="str">
        <f t="shared" si="4"/>
        <v>czerwca</v>
      </c>
      <c r="F57" s="15" t="str">
        <f t="shared" si="5"/>
        <v>Q2</v>
      </c>
      <c r="G57" s="15" t="str">
        <f t="shared" si="6"/>
        <v>Summer</v>
      </c>
      <c r="H57" s="16">
        <f>weather_data!E57-weather_data!D57</f>
        <v>0.9</v>
      </c>
      <c r="I57" s="15">
        <f>IF(OR(weather_data!H57="light rain",weather_data!H57="moderate rain",weather_data!H57="drizzle",weather_data!H57="thunderstorm"),1,0)</f>
        <v>0</v>
      </c>
      <c r="J57" s="15">
        <f>IF(weather_data!I57&gt;=25,1,0)</f>
        <v>0</v>
      </c>
    </row>
    <row r="58" ht="15.75" customHeight="1">
      <c r="A58" s="13">
        <f>weather_data!B58</f>
        <v>45811.48611</v>
      </c>
      <c r="B58" s="14">
        <f t="shared" si="1"/>
        <v>45811</v>
      </c>
      <c r="C58" s="15" t="str">
        <f t="shared" si="2"/>
        <v>2025-06</v>
      </c>
      <c r="D58" s="15">
        <f t="shared" si="3"/>
        <v>6</v>
      </c>
      <c r="E58" s="15" t="str">
        <f t="shared" si="4"/>
        <v>czerwca</v>
      </c>
      <c r="F58" s="15" t="str">
        <f t="shared" si="5"/>
        <v>Q2</v>
      </c>
      <c r="G58" s="15" t="str">
        <f t="shared" si="6"/>
        <v>Summer</v>
      </c>
      <c r="H58" s="16">
        <f>weather_data!E58-weather_data!D58</f>
        <v>-0.9</v>
      </c>
      <c r="I58" s="15">
        <f>IF(OR(weather_data!H58="light rain",weather_data!H58="moderate rain",weather_data!H58="drizzle",weather_data!H58="thunderstorm"),1,0)</f>
        <v>0</v>
      </c>
      <c r="J58" s="15">
        <f>IF(weather_data!I58&gt;=25,1,0)</f>
        <v>0</v>
      </c>
    </row>
    <row r="59" ht="15.75" customHeight="1">
      <c r="A59" s="13">
        <f>weather_data!B59</f>
        <v>45812.58333</v>
      </c>
      <c r="B59" s="14">
        <f t="shared" si="1"/>
        <v>45812</v>
      </c>
      <c r="C59" s="15" t="str">
        <f t="shared" si="2"/>
        <v>2025-06</v>
      </c>
      <c r="D59" s="15">
        <f t="shared" si="3"/>
        <v>6</v>
      </c>
      <c r="E59" s="15" t="str">
        <f t="shared" si="4"/>
        <v>czerwca</v>
      </c>
      <c r="F59" s="15" t="str">
        <f t="shared" si="5"/>
        <v>Q2</v>
      </c>
      <c r="G59" s="15" t="str">
        <f t="shared" si="6"/>
        <v>Summer</v>
      </c>
      <c r="H59" s="16">
        <f>weather_data!E59-weather_data!D59</f>
        <v>0.6</v>
      </c>
      <c r="I59" s="15">
        <f>IF(OR(weather_data!H59="light rain",weather_data!H59="moderate rain",weather_data!H59="drizzle",weather_data!H59="thunderstorm"),1,0)</f>
        <v>0</v>
      </c>
      <c r="J59" s="15">
        <f>IF(weather_data!I59&gt;=25,1,0)</f>
        <v>0</v>
      </c>
    </row>
    <row r="60" ht="15.75" customHeight="1">
      <c r="A60" s="13">
        <f>weather_data!B60</f>
        <v>45813.40278</v>
      </c>
      <c r="B60" s="14">
        <f t="shared" si="1"/>
        <v>45813</v>
      </c>
      <c r="C60" s="15" t="str">
        <f t="shared" si="2"/>
        <v>2025-06</v>
      </c>
      <c r="D60" s="15">
        <f t="shared" si="3"/>
        <v>6</v>
      </c>
      <c r="E60" s="15" t="str">
        <f t="shared" si="4"/>
        <v>czerwca</v>
      </c>
      <c r="F60" s="15" t="str">
        <f t="shared" si="5"/>
        <v>Q2</v>
      </c>
      <c r="G60" s="15" t="str">
        <f t="shared" si="6"/>
        <v>Summer</v>
      </c>
      <c r="H60" s="16">
        <f>weather_data!E60-weather_data!D60</f>
        <v>0.9</v>
      </c>
      <c r="I60" s="15">
        <f>IF(OR(weather_data!H60="light rain",weather_data!H60="moderate rain",weather_data!H60="drizzle",weather_data!H60="thunderstorm"),1,0)</f>
        <v>0</v>
      </c>
      <c r="J60" s="15">
        <f>IF(weather_data!I60&gt;=25,1,0)</f>
        <v>0</v>
      </c>
    </row>
    <row r="61" ht="15.75" customHeight="1">
      <c r="A61" s="13">
        <f>weather_data!B61</f>
        <v>45814.80556</v>
      </c>
      <c r="B61" s="14">
        <f t="shared" si="1"/>
        <v>45814</v>
      </c>
      <c r="C61" s="15" t="str">
        <f t="shared" si="2"/>
        <v>2025-06</v>
      </c>
      <c r="D61" s="15">
        <f t="shared" si="3"/>
        <v>6</v>
      </c>
      <c r="E61" s="15" t="str">
        <f t="shared" si="4"/>
        <v>czerwca</v>
      </c>
      <c r="F61" s="15" t="str">
        <f t="shared" si="5"/>
        <v>Q2</v>
      </c>
      <c r="G61" s="15" t="str">
        <f t="shared" si="6"/>
        <v>Summer</v>
      </c>
      <c r="H61" s="16">
        <f>weather_data!E61-weather_data!D61</f>
        <v>-0.1</v>
      </c>
      <c r="I61" s="15">
        <f>IF(OR(weather_data!H61="light rain",weather_data!H61="moderate rain",weather_data!H61="drizzle",weather_data!H61="thunderstorm"),1,0)</f>
        <v>0</v>
      </c>
      <c r="J61" s="15">
        <f>IF(weather_data!I61&gt;=25,1,0)</f>
        <v>0</v>
      </c>
    </row>
    <row r="62" ht="15.75" customHeight="1">
      <c r="A62" s="13">
        <f>weather_data!B62</f>
        <v>45815.6875</v>
      </c>
      <c r="B62" s="14">
        <f t="shared" si="1"/>
        <v>45815</v>
      </c>
      <c r="C62" s="15" t="str">
        <f t="shared" si="2"/>
        <v>2025-06</v>
      </c>
      <c r="D62" s="15">
        <f t="shared" si="3"/>
        <v>6</v>
      </c>
      <c r="E62" s="15" t="str">
        <f t="shared" si="4"/>
        <v>czerwca</v>
      </c>
      <c r="F62" s="15" t="str">
        <f t="shared" si="5"/>
        <v>Q2</v>
      </c>
      <c r="G62" s="15" t="str">
        <f t="shared" si="6"/>
        <v>Summer</v>
      </c>
      <c r="H62" s="16">
        <f>weather_data!E62-weather_data!D62</f>
        <v>-1.1</v>
      </c>
      <c r="I62" s="15">
        <f>IF(OR(weather_data!H62="light rain",weather_data!H62="moderate rain",weather_data!H62="drizzle",weather_data!H62="thunderstorm"),1,0)</f>
        <v>1</v>
      </c>
      <c r="J62" s="15">
        <f>IF(weather_data!I62&gt;=25,1,0)</f>
        <v>0</v>
      </c>
    </row>
    <row r="63" ht="15.75" customHeight="1">
      <c r="A63" s="13">
        <f>weather_data!B63</f>
        <v>45816.39583</v>
      </c>
      <c r="B63" s="14">
        <f t="shared" si="1"/>
        <v>45816</v>
      </c>
      <c r="C63" s="15" t="str">
        <f t="shared" si="2"/>
        <v>2025-06</v>
      </c>
      <c r="D63" s="15">
        <f t="shared" si="3"/>
        <v>6</v>
      </c>
      <c r="E63" s="15" t="str">
        <f t="shared" si="4"/>
        <v>czerwca</v>
      </c>
      <c r="F63" s="15" t="str">
        <f t="shared" si="5"/>
        <v>Q2</v>
      </c>
      <c r="G63" s="15" t="str">
        <f t="shared" si="6"/>
        <v>Summer</v>
      </c>
      <c r="H63" s="16">
        <f>weather_data!E63-weather_data!D63</f>
        <v>0.9</v>
      </c>
      <c r="I63" s="15">
        <f>IF(OR(weather_data!H63="light rain",weather_data!H63="moderate rain",weather_data!H63="drizzle",weather_data!H63="thunderstorm"),1,0)</f>
        <v>0</v>
      </c>
      <c r="J63" s="15">
        <f>IF(weather_data!I63&gt;=25,1,0)</f>
        <v>0</v>
      </c>
    </row>
    <row r="64" ht="15.75" customHeight="1">
      <c r="A64" s="13">
        <f>weather_data!B64</f>
        <v>45817.51389</v>
      </c>
      <c r="B64" s="14">
        <f t="shared" si="1"/>
        <v>45817</v>
      </c>
      <c r="C64" s="15" t="str">
        <f t="shared" si="2"/>
        <v>2025-06</v>
      </c>
      <c r="D64" s="15">
        <f t="shared" si="3"/>
        <v>6</v>
      </c>
      <c r="E64" s="15" t="str">
        <f t="shared" si="4"/>
        <v>czerwca</v>
      </c>
      <c r="F64" s="15" t="str">
        <f t="shared" si="5"/>
        <v>Q2</v>
      </c>
      <c r="G64" s="15" t="str">
        <f t="shared" si="6"/>
        <v>Summer</v>
      </c>
      <c r="H64" s="16">
        <f>weather_data!E64-weather_data!D64</f>
        <v>-1.2</v>
      </c>
      <c r="I64" s="15">
        <f>IF(OR(weather_data!H64="light rain",weather_data!H64="moderate rain",weather_data!H64="drizzle",weather_data!H64="thunderstorm"),1,0)</f>
        <v>0</v>
      </c>
      <c r="J64" s="15">
        <f>IF(weather_data!I64&gt;=25,1,0)</f>
        <v>0</v>
      </c>
    </row>
    <row r="65" ht="15.75" customHeight="1">
      <c r="A65" s="13">
        <f>weather_data!B65</f>
        <v>45818.32639</v>
      </c>
      <c r="B65" s="14">
        <f t="shared" si="1"/>
        <v>45818</v>
      </c>
      <c r="C65" s="15" t="str">
        <f t="shared" si="2"/>
        <v>2025-06</v>
      </c>
      <c r="D65" s="15">
        <f t="shared" si="3"/>
        <v>6</v>
      </c>
      <c r="E65" s="15" t="str">
        <f t="shared" si="4"/>
        <v>czerwca</v>
      </c>
      <c r="F65" s="15" t="str">
        <f t="shared" si="5"/>
        <v>Q2</v>
      </c>
      <c r="G65" s="15" t="str">
        <f t="shared" si="6"/>
        <v>Summer</v>
      </c>
      <c r="H65" s="16">
        <f>weather_data!E65-weather_data!D65</f>
        <v>0.6</v>
      </c>
      <c r="I65" s="15">
        <f>IF(OR(weather_data!H65="light rain",weather_data!H65="moderate rain",weather_data!H65="drizzle",weather_data!H65="thunderstorm"),1,0)</f>
        <v>0</v>
      </c>
      <c r="J65" s="15">
        <f>IF(weather_data!I65&gt;=25,1,0)</f>
        <v>0</v>
      </c>
    </row>
    <row r="66" ht="15.75" customHeight="1">
      <c r="A66" s="13">
        <f>weather_data!B66</f>
        <v>45819.79167</v>
      </c>
      <c r="B66" s="14">
        <f t="shared" si="1"/>
        <v>45819</v>
      </c>
      <c r="C66" s="15" t="str">
        <f t="shared" si="2"/>
        <v>2025-06</v>
      </c>
      <c r="D66" s="15">
        <f t="shared" si="3"/>
        <v>6</v>
      </c>
      <c r="E66" s="15" t="str">
        <f t="shared" si="4"/>
        <v>czerwca</v>
      </c>
      <c r="F66" s="15" t="str">
        <f t="shared" si="5"/>
        <v>Q2</v>
      </c>
      <c r="G66" s="15" t="str">
        <f t="shared" si="6"/>
        <v>Summer</v>
      </c>
      <c r="H66" s="16">
        <f>weather_data!E66-weather_data!D66</f>
        <v>0.4</v>
      </c>
      <c r="I66" s="15">
        <f>IF(OR(weather_data!H66="light rain",weather_data!H66="moderate rain",weather_data!H66="drizzle",weather_data!H66="thunderstorm"),1,0)</f>
        <v>0</v>
      </c>
      <c r="J66" s="15">
        <f>IF(weather_data!I66&gt;=25,1,0)</f>
        <v>0</v>
      </c>
    </row>
    <row r="67" ht="15.75" customHeight="1">
      <c r="A67" s="13">
        <f>weather_data!B67</f>
        <v>45821.51389</v>
      </c>
      <c r="B67" s="14">
        <f t="shared" si="1"/>
        <v>45821</v>
      </c>
      <c r="C67" s="15" t="str">
        <f t="shared" si="2"/>
        <v>2025-06</v>
      </c>
      <c r="D67" s="15">
        <f t="shared" si="3"/>
        <v>6</v>
      </c>
      <c r="E67" s="15" t="str">
        <f t="shared" si="4"/>
        <v>czerwca</v>
      </c>
      <c r="F67" s="15" t="str">
        <f t="shared" si="5"/>
        <v>Q2</v>
      </c>
      <c r="G67" s="15" t="str">
        <f t="shared" si="6"/>
        <v>Summer</v>
      </c>
      <c r="H67" s="16">
        <f>weather_data!E67-weather_data!D67</f>
        <v>0.2</v>
      </c>
      <c r="I67" s="15">
        <f>IF(OR(weather_data!H67="light rain",weather_data!H67="moderate rain",weather_data!H67="drizzle",weather_data!H67="thunderstorm"),1,0)</f>
        <v>0</v>
      </c>
      <c r="J67" s="15">
        <f>IF(weather_data!I67&gt;=25,1,0)</f>
        <v>0</v>
      </c>
    </row>
    <row r="68" ht="15.75" customHeight="1">
      <c r="A68" s="13">
        <f>weather_data!B68</f>
        <v>45822.79167</v>
      </c>
      <c r="B68" s="14">
        <f t="shared" si="1"/>
        <v>45822</v>
      </c>
      <c r="C68" s="15" t="str">
        <f t="shared" si="2"/>
        <v>2025-06</v>
      </c>
      <c r="D68" s="15">
        <f t="shared" si="3"/>
        <v>6</v>
      </c>
      <c r="E68" s="15" t="str">
        <f t="shared" si="4"/>
        <v>czerwca</v>
      </c>
      <c r="F68" s="15" t="str">
        <f t="shared" si="5"/>
        <v>Q2</v>
      </c>
      <c r="G68" s="15" t="str">
        <f t="shared" si="6"/>
        <v>Summer</v>
      </c>
      <c r="H68" s="16">
        <f>weather_data!E68-weather_data!D68</f>
        <v>-0.3</v>
      </c>
      <c r="I68" s="15">
        <f>IF(OR(weather_data!H68="light rain",weather_data!H68="moderate rain",weather_data!H68="drizzle",weather_data!H68="thunderstorm"),1,0)</f>
        <v>1</v>
      </c>
      <c r="J68" s="15">
        <f>IF(weather_data!I68&gt;=25,1,0)</f>
        <v>0</v>
      </c>
    </row>
    <row r="69" ht="15.75" customHeight="1">
      <c r="A69" s="13">
        <f>weather_data!B69</f>
        <v>45823.69444</v>
      </c>
      <c r="B69" s="14">
        <f t="shared" si="1"/>
        <v>45823</v>
      </c>
      <c r="C69" s="15" t="str">
        <f t="shared" si="2"/>
        <v>2025-06</v>
      </c>
      <c r="D69" s="15">
        <f t="shared" si="3"/>
        <v>6</v>
      </c>
      <c r="E69" s="15" t="str">
        <f t="shared" si="4"/>
        <v>czerwca</v>
      </c>
      <c r="F69" s="15" t="str">
        <f t="shared" si="5"/>
        <v>Q2</v>
      </c>
      <c r="G69" s="15" t="str">
        <f t="shared" si="6"/>
        <v>Summer</v>
      </c>
      <c r="H69" s="16">
        <f>weather_data!E69-weather_data!D69</f>
        <v>0.7</v>
      </c>
      <c r="I69" s="15">
        <f>IF(OR(weather_data!H69="light rain",weather_data!H69="moderate rain",weather_data!H69="drizzle",weather_data!H69="thunderstorm"),1,0)</f>
        <v>1</v>
      </c>
      <c r="J69" s="15">
        <f>IF(weather_data!I69&gt;=25,1,0)</f>
        <v>0</v>
      </c>
    </row>
    <row r="70" ht="15.75" customHeight="1">
      <c r="A70" s="13">
        <f>weather_data!B70</f>
        <v>45824.70139</v>
      </c>
      <c r="B70" s="14">
        <f t="shared" si="1"/>
        <v>45824</v>
      </c>
      <c r="C70" s="15" t="str">
        <f t="shared" si="2"/>
        <v>2025-06</v>
      </c>
      <c r="D70" s="15">
        <f t="shared" si="3"/>
        <v>6</v>
      </c>
      <c r="E70" s="15" t="str">
        <f t="shared" si="4"/>
        <v>czerwca</v>
      </c>
      <c r="F70" s="15" t="str">
        <f t="shared" si="5"/>
        <v>Q2</v>
      </c>
      <c r="G70" s="15" t="str">
        <f t="shared" si="6"/>
        <v>Summer</v>
      </c>
      <c r="H70" s="16">
        <f>weather_data!E70-weather_data!D70</f>
        <v>-0.7</v>
      </c>
      <c r="I70" s="15">
        <f>IF(OR(weather_data!H70="light rain",weather_data!H70="moderate rain",weather_data!H70="drizzle",weather_data!H70="thunderstorm"),1,0)</f>
        <v>1</v>
      </c>
      <c r="J70" s="15">
        <f>IF(weather_data!I70&gt;=25,1,0)</f>
        <v>0</v>
      </c>
    </row>
    <row r="71" ht="15.75" customHeight="1">
      <c r="A71" s="13">
        <f>weather_data!B71</f>
        <v>45825.40972</v>
      </c>
      <c r="B71" s="14">
        <f t="shared" si="1"/>
        <v>45825</v>
      </c>
      <c r="C71" s="15" t="str">
        <f t="shared" si="2"/>
        <v>2025-06</v>
      </c>
      <c r="D71" s="15">
        <f t="shared" si="3"/>
        <v>6</v>
      </c>
      <c r="E71" s="15" t="str">
        <f t="shared" si="4"/>
        <v>czerwca</v>
      </c>
      <c r="F71" s="15" t="str">
        <f t="shared" si="5"/>
        <v>Q2</v>
      </c>
      <c r="G71" s="15" t="str">
        <f t="shared" si="6"/>
        <v>Summer</v>
      </c>
      <c r="H71" s="16">
        <f>weather_data!E71-weather_data!D71</f>
        <v>1.1</v>
      </c>
      <c r="I71" s="15">
        <f>IF(OR(weather_data!H71="light rain",weather_data!H71="moderate rain",weather_data!H71="drizzle",weather_data!H71="thunderstorm"),1,0)</f>
        <v>0</v>
      </c>
      <c r="J71" s="15">
        <f>IF(weather_data!I71&gt;=25,1,0)</f>
        <v>0</v>
      </c>
    </row>
    <row r="72" ht="15.75" customHeight="1">
      <c r="A72" s="13">
        <f>weather_data!B72</f>
        <v>45827.65278</v>
      </c>
      <c r="B72" s="14">
        <f t="shared" si="1"/>
        <v>45827</v>
      </c>
      <c r="C72" s="15" t="str">
        <f t="shared" si="2"/>
        <v>2025-06</v>
      </c>
      <c r="D72" s="15">
        <f t="shared" si="3"/>
        <v>6</v>
      </c>
      <c r="E72" s="15" t="str">
        <f t="shared" si="4"/>
        <v>czerwca</v>
      </c>
      <c r="F72" s="15" t="str">
        <f t="shared" si="5"/>
        <v>Q2</v>
      </c>
      <c r="G72" s="15" t="str">
        <f t="shared" si="6"/>
        <v>Summer</v>
      </c>
      <c r="H72" s="16">
        <f>weather_data!E72-weather_data!D72</f>
        <v>-1.1</v>
      </c>
      <c r="I72" s="15">
        <f>IF(OR(weather_data!H72="light rain",weather_data!H72="moderate rain",weather_data!H72="drizzle",weather_data!H72="thunderstorm"),1,0)</f>
        <v>0</v>
      </c>
      <c r="J72" s="15">
        <f>IF(weather_data!I72&gt;=25,1,0)</f>
        <v>0</v>
      </c>
    </row>
    <row r="73" ht="15.75" customHeight="1">
      <c r="A73" s="13">
        <f>weather_data!B73</f>
        <v>45829.65972</v>
      </c>
      <c r="B73" s="14">
        <f t="shared" si="1"/>
        <v>45829</v>
      </c>
      <c r="C73" s="15" t="str">
        <f t="shared" si="2"/>
        <v>2025-06</v>
      </c>
      <c r="D73" s="15">
        <f t="shared" si="3"/>
        <v>6</v>
      </c>
      <c r="E73" s="15" t="str">
        <f t="shared" si="4"/>
        <v>czerwca</v>
      </c>
      <c r="F73" s="15" t="str">
        <f t="shared" si="5"/>
        <v>Q2</v>
      </c>
      <c r="G73" s="15" t="str">
        <f t="shared" si="6"/>
        <v>Summer</v>
      </c>
      <c r="H73" s="16">
        <f>weather_data!E73-weather_data!D73</f>
        <v>1.2</v>
      </c>
      <c r="I73" s="15">
        <f>IF(OR(weather_data!H73="light rain",weather_data!H73="moderate rain",weather_data!H73="drizzle",weather_data!H73="thunderstorm"),1,0)</f>
        <v>0</v>
      </c>
      <c r="J73" s="15">
        <f>IF(weather_data!I73&gt;=25,1,0)</f>
        <v>0</v>
      </c>
    </row>
    <row r="74" ht="15.75" customHeight="1">
      <c r="A74" s="13">
        <f>weather_data!B74</f>
        <v>45830.80556</v>
      </c>
      <c r="B74" s="14">
        <f t="shared" si="1"/>
        <v>45830</v>
      </c>
      <c r="C74" s="15" t="str">
        <f t="shared" si="2"/>
        <v>2025-06</v>
      </c>
      <c r="D74" s="15">
        <f t="shared" si="3"/>
        <v>6</v>
      </c>
      <c r="E74" s="15" t="str">
        <f t="shared" si="4"/>
        <v>czerwca</v>
      </c>
      <c r="F74" s="15" t="str">
        <f t="shared" si="5"/>
        <v>Q2</v>
      </c>
      <c r="G74" s="15" t="str">
        <f t="shared" si="6"/>
        <v>Summer</v>
      </c>
      <c r="H74" s="16">
        <f>weather_data!E74-weather_data!D74</f>
        <v>-0.3</v>
      </c>
      <c r="I74" s="15">
        <f>IF(OR(weather_data!H74="light rain",weather_data!H74="moderate rain",weather_data!H74="drizzle",weather_data!H74="thunderstorm"),1,0)</f>
        <v>0</v>
      </c>
      <c r="J74" s="15">
        <f>IF(weather_data!I74&gt;=25,1,0)</f>
        <v>0</v>
      </c>
    </row>
    <row r="75" ht="15.75" customHeight="1">
      <c r="A75" s="13">
        <f>weather_data!B75</f>
        <v>45831.78472</v>
      </c>
      <c r="B75" s="14">
        <f t="shared" si="1"/>
        <v>45831</v>
      </c>
      <c r="C75" s="15" t="str">
        <f t="shared" si="2"/>
        <v>2025-06</v>
      </c>
      <c r="D75" s="15">
        <f t="shared" si="3"/>
        <v>6</v>
      </c>
      <c r="E75" s="15" t="str">
        <f t="shared" si="4"/>
        <v>czerwca</v>
      </c>
      <c r="F75" s="15" t="str">
        <f t="shared" si="5"/>
        <v>Q2</v>
      </c>
      <c r="G75" s="15" t="str">
        <f t="shared" si="6"/>
        <v>Summer</v>
      </c>
      <c r="H75" s="16">
        <f>weather_data!E75-weather_data!D75</f>
        <v>-0.2</v>
      </c>
      <c r="I75" s="15">
        <f>IF(OR(weather_data!H75="light rain",weather_data!H75="moderate rain",weather_data!H75="drizzle",weather_data!H75="thunderstorm"),1,0)</f>
        <v>0</v>
      </c>
      <c r="J75" s="15">
        <f>IF(weather_data!I75&gt;=25,1,0)</f>
        <v>0</v>
      </c>
    </row>
    <row r="76" ht="15.75" customHeight="1">
      <c r="A76" s="13">
        <f>weather_data!B76</f>
        <v>45832.65278</v>
      </c>
      <c r="B76" s="14">
        <f t="shared" si="1"/>
        <v>45832</v>
      </c>
      <c r="C76" s="15" t="str">
        <f t="shared" si="2"/>
        <v>2025-06</v>
      </c>
      <c r="D76" s="15">
        <f t="shared" si="3"/>
        <v>6</v>
      </c>
      <c r="E76" s="15" t="str">
        <f t="shared" si="4"/>
        <v>czerwca</v>
      </c>
      <c r="F76" s="15" t="str">
        <f t="shared" si="5"/>
        <v>Q2</v>
      </c>
      <c r="G76" s="15" t="str">
        <f t="shared" si="6"/>
        <v>Summer</v>
      </c>
      <c r="H76" s="16">
        <f>weather_data!E76-weather_data!D76</f>
        <v>0.5</v>
      </c>
      <c r="I76" s="15">
        <f>IF(OR(weather_data!H76="light rain",weather_data!H76="moderate rain",weather_data!H76="drizzle",weather_data!H76="thunderstorm"),1,0)</f>
        <v>0</v>
      </c>
      <c r="J76" s="15">
        <f>IF(weather_data!I76&gt;=25,1,0)</f>
        <v>0</v>
      </c>
    </row>
    <row r="77" ht="15.75" customHeight="1">
      <c r="A77" s="13">
        <f>weather_data!B77</f>
        <v>45833.42361</v>
      </c>
      <c r="B77" s="14">
        <f t="shared" si="1"/>
        <v>45833</v>
      </c>
      <c r="C77" s="15" t="str">
        <f t="shared" si="2"/>
        <v>2025-06</v>
      </c>
      <c r="D77" s="15">
        <f t="shared" si="3"/>
        <v>6</v>
      </c>
      <c r="E77" s="15" t="str">
        <f t="shared" si="4"/>
        <v>czerwca</v>
      </c>
      <c r="F77" s="15" t="str">
        <f t="shared" si="5"/>
        <v>Q2</v>
      </c>
      <c r="G77" s="15" t="str">
        <f t="shared" si="6"/>
        <v>Summer</v>
      </c>
      <c r="H77" s="16">
        <f>weather_data!E77-weather_data!D77</f>
        <v>0.2</v>
      </c>
      <c r="I77" s="15">
        <f>IF(OR(weather_data!H77="light rain",weather_data!H77="moderate rain",weather_data!H77="drizzle",weather_data!H77="thunderstorm"),1,0)</f>
        <v>0</v>
      </c>
      <c r="J77" s="15">
        <f>IF(weather_data!I77&gt;=25,1,0)</f>
        <v>0</v>
      </c>
    </row>
    <row r="78" ht="15.75" customHeight="1">
      <c r="A78" s="13">
        <f>weather_data!B78</f>
        <v>45834.82639</v>
      </c>
      <c r="B78" s="14">
        <f t="shared" si="1"/>
        <v>45834</v>
      </c>
      <c r="C78" s="15" t="str">
        <f t="shared" si="2"/>
        <v>2025-06</v>
      </c>
      <c r="D78" s="15">
        <f t="shared" si="3"/>
        <v>6</v>
      </c>
      <c r="E78" s="15" t="str">
        <f t="shared" si="4"/>
        <v>czerwca</v>
      </c>
      <c r="F78" s="15" t="str">
        <f t="shared" si="5"/>
        <v>Q2</v>
      </c>
      <c r="G78" s="15" t="str">
        <f t="shared" si="6"/>
        <v>Summer</v>
      </c>
      <c r="H78" s="16">
        <f>weather_data!E78-weather_data!D78</f>
        <v>0.7</v>
      </c>
      <c r="I78" s="15">
        <f>IF(OR(weather_data!H78="light rain",weather_data!H78="moderate rain",weather_data!H78="drizzle",weather_data!H78="thunderstorm"),1,0)</f>
        <v>0</v>
      </c>
      <c r="J78" s="15">
        <f>IF(weather_data!I78&gt;=25,1,0)</f>
        <v>0</v>
      </c>
    </row>
    <row r="79" ht="15.75" customHeight="1">
      <c r="A79" s="13">
        <f>weather_data!B79</f>
        <v>45835.78472</v>
      </c>
      <c r="B79" s="14">
        <f t="shared" si="1"/>
        <v>45835</v>
      </c>
      <c r="C79" s="15" t="str">
        <f t="shared" si="2"/>
        <v>2025-06</v>
      </c>
      <c r="D79" s="15">
        <f t="shared" si="3"/>
        <v>6</v>
      </c>
      <c r="E79" s="15" t="str">
        <f t="shared" si="4"/>
        <v>czerwca</v>
      </c>
      <c r="F79" s="15" t="str">
        <f t="shared" si="5"/>
        <v>Q2</v>
      </c>
      <c r="G79" s="15" t="str">
        <f t="shared" si="6"/>
        <v>Summer</v>
      </c>
      <c r="H79" s="16">
        <f>weather_data!E79-weather_data!D79</f>
        <v>0.6</v>
      </c>
      <c r="I79" s="15">
        <f>IF(OR(weather_data!H79="light rain",weather_data!H79="moderate rain",weather_data!H79="drizzle",weather_data!H79="thunderstorm"),1,0)</f>
        <v>1</v>
      </c>
      <c r="J79" s="15">
        <f>IF(weather_data!I79&gt;=25,1,0)</f>
        <v>1</v>
      </c>
    </row>
    <row r="80" ht="15.75" customHeight="1">
      <c r="A80" s="13">
        <f>weather_data!B80</f>
        <v>45836.48611</v>
      </c>
      <c r="B80" s="14">
        <f t="shared" si="1"/>
        <v>45836</v>
      </c>
      <c r="C80" s="15" t="str">
        <f t="shared" si="2"/>
        <v>2025-06</v>
      </c>
      <c r="D80" s="15">
        <f t="shared" si="3"/>
        <v>6</v>
      </c>
      <c r="E80" s="15" t="str">
        <f t="shared" si="4"/>
        <v>czerwca</v>
      </c>
      <c r="F80" s="15" t="str">
        <f t="shared" si="5"/>
        <v>Q2</v>
      </c>
      <c r="G80" s="15" t="str">
        <f t="shared" si="6"/>
        <v>Summer</v>
      </c>
      <c r="H80" s="16">
        <f>weather_data!E80-weather_data!D80</f>
        <v>-0.1</v>
      </c>
      <c r="I80" s="15">
        <f>IF(OR(weather_data!H80="light rain",weather_data!H80="moderate rain",weather_data!H80="drizzle",weather_data!H80="thunderstorm"),1,0)</f>
        <v>1</v>
      </c>
      <c r="J80" s="15">
        <f>IF(weather_data!I80&gt;=25,1,0)</f>
        <v>0</v>
      </c>
    </row>
    <row r="81" ht="15.75" customHeight="1">
      <c r="A81" s="13">
        <f>weather_data!B81</f>
        <v>45837.64583</v>
      </c>
      <c r="B81" s="14">
        <f t="shared" si="1"/>
        <v>45837</v>
      </c>
      <c r="C81" s="15" t="str">
        <f t="shared" si="2"/>
        <v>2025-06</v>
      </c>
      <c r="D81" s="15">
        <f t="shared" si="3"/>
        <v>6</v>
      </c>
      <c r="E81" s="15" t="str">
        <f t="shared" si="4"/>
        <v>czerwca</v>
      </c>
      <c r="F81" s="15" t="str">
        <f t="shared" si="5"/>
        <v>Q2</v>
      </c>
      <c r="G81" s="15" t="str">
        <f t="shared" si="6"/>
        <v>Summer</v>
      </c>
      <c r="H81" s="16">
        <f>weather_data!E81-weather_data!D81</f>
        <v>-0.9</v>
      </c>
      <c r="I81" s="15">
        <f>IF(OR(weather_data!H81="light rain",weather_data!H81="moderate rain",weather_data!H81="drizzle",weather_data!H81="thunderstorm"),1,0)</f>
        <v>0</v>
      </c>
      <c r="J81" s="15">
        <f>IF(weather_data!I81&gt;=25,1,0)</f>
        <v>0</v>
      </c>
    </row>
    <row r="82" ht="15.75" customHeight="1">
      <c r="A82" s="13">
        <f>weather_data!B82</f>
        <v>45838.26389</v>
      </c>
      <c r="B82" s="14">
        <f t="shared" si="1"/>
        <v>45838</v>
      </c>
      <c r="C82" s="15" t="str">
        <f t="shared" si="2"/>
        <v>2025-06</v>
      </c>
      <c r="D82" s="15">
        <f t="shared" si="3"/>
        <v>6</v>
      </c>
      <c r="E82" s="15" t="str">
        <f t="shared" si="4"/>
        <v>czerwca</v>
      </c>
      <c r="F82" s="15" t="str">
        <f t="shared" si="5"/>
        <v>Q2</v>
      </c>
      <c r="G82" s="15" t="str">
        <f t="shared" si="6"/>
        <v>Summer</v>
      </c>
      <c r="H82" s="16">
        <f>weather_data!E82-weather_data!D82</f>
        <v>0.6</v>
      </c>
      <c r="I82" s="15">
        <f>IF(OR(weather_data!H82="light rain",weather_data!H82="moderate rain",weather_data!H82="drizzle",weather_data!H82="thunderstorm"),1,0)</f>
        <v>1</v>
      </c>
      <c r="J82" s="15">
        <f>IF(weather_data!I82&gt;=25,1,0)</f>
        <v>0</v>
      </c>
    </row>
    <row r="83" ht="15.75" customHeight="1">
      <c r="A83" s="13">
        <f>weather_data!B83</f>
        <v>45839.63194</v>
      </c>
      <c r="B83" s="14">
        <f t="shared" si="1"/>
        <v>45839</v>
      </c>
      <c r="C83" s="15" t="str">
        <f t="shared" si="2"/>
        <v>2025-07</v>
      </c>
      <c r="D83" s="15">
        <f t="shared" si="3"/>
        <v>7</v>
      </c>
      <c r="E83" s="15" t="str">
        <f t="shared" si="4"/>
        <v>lipca</v>
      </c>
      <c r="F83" s="15" t="str">
        <f t="shared" si="5"/>
        <v>Q3</v>
      </c>
      <c r="G83" s="15" t="str">
        <f t="shared" si="6"/>
        <v>Summer</v>
      </c>
      <c r="H83" s="16">
        <f>weather_data!E83-weather_data!D83</f>
        <v>-0.5</v>
      </c>
      <c r="I83" s="15">
        <f>IF(OR(weather_data!H83="light rain",weather_data!H83="moderate rain",weather_data!H83="drizzle",weather_data!H83="thunderstorm"),1,0)</f>
        <v>0</v>
      </c>
      <c r="J83" s="15">
        <f>IF(weather_data!I83&gt;=25,1,0)</f>
        <v>0</v>
      </c>
    </row>
    <row r="84" ht="15.75" customHeight="1">
      <c r="A84" s="13">
        <f>weather_data!B84</f>
        <v>45840.81944</v>
      </c>
      <c r="B84" s="14">
        <f t="shared" si="1"/>
        <v>45840</v>
      </c>
      <c r="C84" s="15" t="str">
        <f t="shared" si="2"/>
        <v>2025-07</v>
      </c>
      <c r="D84" s="15">
        <f t="shared" si="3"/>
        <v>7</v>
      </c>
      <c r="E84" s="15" t="str">
        <f t="shared" si="4"/>
        <v>lipca</v>
      </c>
      <c r="F84" s="15" t="str">
        <f t="shared" si="5"/>
        <v>Q3</v>
      </c>
      <c r="G84" s="15" t="str">
        <f t="shared" si="6"/>
        <v>Summer</v>
      </c>
      <c r="H84" s="16">
        <f>weather_data!E84-weather_data!D84</f>
        <v>1</v>
      </c>
      <c r="I84" s="15">
        <f>IF(OR(weather_data!H84="light rain",weather_data!H84="moderate rain",weather_data!H84="drizzle",weather_data!H84="thunderstorm"),1,0)</f>
        <v>0</v>
      </c>
      <c r="J84" s="15">
        <f>IF(weather_data!I84&gt;=25,1,0)</f>
        <v>0</v>
      </c>
    </row>
    <row r="85" ht="15.75" customHeight="1">
      <c r="A85" s="13">
        <f>weather_data!B85</f>
        <v>45841.6875</v>
      </c>
      <c r="B85" s="14">
        <f t="shared" si="1"/>
        <v>45841</v>
      </c>
      <c r="C85" s="15" t="str">
        <f t="shared" si="2"/>
        <v>2025-07</v>
      </c>
      <c r="D85" s="15">
        <f t="shared" si="3"/>
        <v>7</v>
      </c>
      <c r="E85" s="15" t="str">
        <f t="shared" si="4"/>
        <v>lipca</v>
      </c>
      <c r="F85" s="15" t="str">
        <f t="shared" si="5"/>
        <v>Q3</v>
      </c>
      <c r="G85" s="15" t="str">
        <f t="shared" si="6"/>
        <v>Summer</v>
      </c>
      <c r="H85" s="16">
        <f>weather_data!E85-weather_data!D85</f>
        <v>0</v>
      </c>
      <c r="I85" s="15">
        <f>IF(OR(weather_data!H85="light rain",weather_data!H85="moderate rain",weather_data!H85="drizzle",weather_data!H85="thunderstorm"),1,0)</f>
        <v>0</v>
      </c>
      <c r="J85" s="15">
        <f>IF(weather_data!I85&gt;=25,1,0)</f>
        <v>0</v>
      </c>
    </row>
    <row r="86" ht="15.75" customHeight="1">
      <c r="A86" s="13">
        <f>weather_data!B86</f>
        <v>45842.85417</v>
      </c>
      <c r="B86" s="14">
        <f t="shared" si="1"/>
        <v>45842</v>
      </c>
      <c r="C86" s="15" t="str">
        <f t="shared" si="2"/>
        <v>2025-07</v>
      </c>
      <c r="D86" s="15">
        <f t="shared" si="3"/>
        <v>7</v>
      </c>
      <c r="E86" s="15" t="str">
        <f t="shared" si="4"/>
        <v>lipca</v>
      </c>
      <c r="F86" s="15" t="str">
        <f t="shared" si="5"/>
        <v>Q3</v>
      </c>
      <c r="G86" s="15" t="str">
        <f t="shared" si="6"/>
        <v>Summer</v>
      </c>
      <c r="H86" s="16">
        <f>weather_data!E86-weather_data!D86</f>
        <v>-1.1</v>
      </c>
      <c r="I86" s="15">
        <f>IF(OR(weather_data!H86="light rain",weather_data!H86="moderate rain",weather_data!H86="drizzle",weather_data!H86="thunderstorm"),1,0)</f>
        <v>1</v>
      </c>
      <c r="J86" s="15">
        <f>IF(weather_data!I86&gt;=25,1,0)</f>
        <v>0</v>
      </c>
    </row>
    <row r="87" ht="15.75" customHeight="1">
      <c r="A87" s="13">
        <f>weather_data!B87</f>
        <v>45843.52778</v>
      </c>
      <c r="B87" s="14">
        <f t="shared" si="1"/>
        <v>45843</v>
      </c>
      <c r="C87" s="15" t="str">
        <f t="shared" si="2"/>
        <v>2025-07</v>
      </c>
      <c r="D87" s="15">
        <f t="shared" si="3"/>
        <v>7</v>
      </c>
      <c r="E87" s="15" t="str">
        <f t="shared" si="4"/>
        <v>lipca</v>
      </c>
      <c r="F87" s="15" t="str">
        <f t="shared" si="5"/>
        <v>Q3</v>
      </c>
      <c r="G87" s="15" t="str">
        <f t="shared" si="6"/>
        <v>Summer</v>
      </c>
      <c r="H87" s="16">
        <f>weather_data!E87-weather_data!D87</f>
        <v>0.1</v>
      </c>
      <c r="I87" s="15">
        <f>IF(OR(weather_data!H87="light rain",weather_data!H87="moderate rain",weather_data!H87="drizzle",weather_data!H87="thunderstorm"),1,0)</f>
        <v>1</v>
      </c>
      <c r="J87" s="15">
        <f>IF(weather_data!I87&gt;=25,1,0)</f>
        <v>1</v>
      </c>
    </row>
    <row r="88" ht="15.75" customHeight="1">
      <c r="A88" s="13">
        <f>weather_data!B88</f>
        <v>45844.90972</v>
      </c>
      <c r="B88" s="14">
        <f t="shared" si="1"/>
        <v>45844</v>
      </c>
      <c r="C88" s="15" t="str">
        <f t="shared" si="2"/>
        <v>2025-07</v>
      </c>
      <c r="D88" s="15">
        <f t="shared" si="3"/>
        <v>7</v>
      </c>
      <c r="E88" s="15" t="str">
        <f t="shared" si="4"/>
        <v>lipca</v>
      </c>
      <c r="F88" s="15" t="str">
        <f t="shared" si="5"/>
        <v>Q3</v>
      </c>
      <c r="G88" s="15" t="str">
        <f t="shared" si="6"/>
        <v>Summer</v>
      </c>
      <c r="H88" s="16">
        <f>weather_data!E88-weather_data!D88</f>
        <v>0.3</v>
      </c>
      <c r="I88" s="15">
        <f>IF(OR(weather_data!H88="light rain",weather_data!H88="moderate rain",weather_data!H88="drizzle",weather_data!H88="thunderstorm"),1,0)</f>
        <v>0</v>
      </c>
      <c r="J88" s="15">
        <f>IF(weather_data!I88&gt;=25,1,0)</f>
        <v>0</v>
      </c>
    </row>
    <row r="89" ht="15.75" customHeight="1">
      <c r="A89" s="13">
        <f>weather_data!B89</f>
        <v>45845.49306</v>
      </c>
      <c r="B89" s="14">
        <f t="shared" si="1"/>
        <v>45845</v>
      </c>
      <c r="C89" s="15" t="str">
        <f t="shared" si="2"/>
        <v>2025-07</v>
      </c>
      <c r="D89" s="15">
        <f t="shared" si="3"/>
        <v>7</v>
      </c>
      <c r="E89" s="15" t="str">
        <f t="shared" si="4"/>
        <v>lipca</v>
      </c>
      <c r="F89" s="15" t="str">
        <f t="shared" si="5"/>
        <v>Q3</v>
      </c>
      <c r="G89" s="15" t="str">
        <f t="shared" si="6"/>
        <v>Summer</v>
      </c>
      <c r="H89" s="16">
        <f>weather_data!E89-weather_data!D89</f>
        <v>0.4</v>
      </c>
      <c r="I89" s="15">
        <f>IF(OR(weather_data!H89="light rain",weather_data!H89="moderate rain",weather_data!H89="drizzle",weather_data!H89="thunderstorm"),1,0)</f>
        <v>0</v>
      </c>
      <c r="J89" s="15">
        <f>IF(weather_data!I89&gt;=25,1,0)</f>
        <v>0</v>
      </c>
    </row>
    <row r="90" ht="15.75" customHeight="1">
      <c r="A90" s="13">
        <f>weather_data!B90</f>
        <v>45846.34722</v>
      </c>
      <c r="B90" s="14">
        <f t="shared" si="1"/>
        <v>45846</v>
      </c>
      <c r="C90" s="15" t="str">
        <f t="shared" si="2"/>
        <v>2025-07</v>
      </c>
      <c r="D90" s="15">
        <f t="shared" si="3"/>
        <v>7</v>
      </c>
      <c r="E90" s="15" t="str">
        <f t="shared" si="4"/>
        <v>lipca</v>
      </c>
      <c r="F90" s="15" t="str">
        <f t="shared" si="5"/>
        <v>Q3</v>
      </c>
      <c r="G90" s="15" t="str">
        <f t="shared" si="6"/>
        <v>Summer</v>
      </c>
      <c r="H90" s="16">
        <f>weather_data!E90-weather_data!D90</f>
        <v>-0.6</v>
      </c>
      <c r="I90" s="15">
        <f>IF(OR(weather_data!H90="light rain",weather_data!H90="moderate rain",weather_data!H90="drizzle",weather_data!H90="thunderstorm"),1,0)</f>
        <v>0</v>
      </c>
      <c r="J90" s="15">
        <f>IF(weather_data!I90&gt;=25,1,0)</f>
        <v>0</v>
      </c>
    </row>
    <row r="91" ht="15.75" customHeight="1">
      <c r="A91" s="13">
        <f>weather_data!B91</f>
        <v>45847.66667</v>
      </c>
      <c r="B91" s="14">
        <f t="shared" si="1"/>
        <v>45847</v>
      </c>
      <c r="C91" s="15" t="str">
        <f t="shared" si="2"/>
        <v>2025-07</v>
      </c>
      <c r="D91" s="15">
        <f t="shared" si="3"/>
        <v>7</v>
      </c>
      <c r="E91" s="15" t="str">
        <f t="shared" si="4"/>
        <v>lipca</v>
      </c>
      <c r="F91" s="15" t="str">
        <f t="shared" si="5"/>
        <v>Q3</v>
      </c>
      <c r="G91" s="15" t="str">
        <f t="shared" si="6"/>
        <v>Summer</v>
      </c>
      <c r="H91" s="16">
        <f>weather_data!E91-weather_data!D91</f>
        <v>0.4</v>
      </c>
      <c r="I91" s="15">
        <f>IF(OR(weather_data!H91="light rain",weather_data!H91="moderate rain",weather_data!H91="drizzle",weather_data!H91="thunderstorm"),1,0)</f>
        <v>0</v>
      </c>
      <c r="J91" s="15">
        <f>IF(weather_data!I91&gt;=25,1,0)</f>
        <v>0</v>
      </c>
    </row>
    <row r="92" ht="15.75" customHeight="1">
      <c r="A92" s="13">
        <f>weather_data!B92</f>
        <v>45848.57639</v>
      </c>
      <c r="B92" s="14">
        <f t="shared" si="1"/>
        <v>45848</v>
      </c>
      <c r="C92" s="15" t="str">
        <f t="shared" si="2"/>
        <v>2025-07</v>
      </c>
      <c r="D92" s="15">
        <f t="shared" si="3"/>
        <v>7</v>
      </c>
      <c r="E92" s="15" t="str">
        <f t="shared" si="4"/>
        <v>lipca</v>
      </c>
      <c r="F92" s="15" t="str">
        <f t="shared" si="5"/>
        <v>Q3</v>
      </c>
      <c r="G92" s="15" t="str">
        <f t="shared" si="6"/>
        <v>Summer</v>
      </c>
      <c r="H92" s="16">
        <f>weather_data!E92-weather_data!D92</f>
        <v>-0.8</v>
      </c>
      <c r="I92" s="15">
        <f>IF(OR(weather_data!H92="light rain",weather_data!H92="moderate rain",weather_data!H92="drizzle",weather_data!H92="thunderstorm"),1,0)</f>
        <v>0</v>
      </c>
      <c r="J92" s="15">
        <f>IF(weather_data!I92&gt;=25,1,0)</f>
        <v>0</v>
      </c>
    </row>
    <row r="93" ht="15.75" customHeight="1">
      <c r="A93" s="13">
        <f>weather_data!B93</f>
        <v>45849.63194</v>
      </c>
      <c r="B93" s="14">
        <f t="shared" si="1"/>
        <v>45849</v>
      </c>
      <c r="C93" s="15" t="str">
        <f t="shared" si="2"/>
        <v>2025-07</v>
      </c>
      <c r="D93" s="15">
        <f t="shared" si="3"/>
        <v>7</v>
      </c>
      <c r="E93" s="15" t="str">
        <f t="shared" si="4"/>
        <v>lipca</v>
      </c>
      <c r="F93" s="15" t="str">
        <f t="shared" si="5"/>
        <v>Q3</v>
      </c>
      <c r="G93" s="15" t="str">
        <f t="shared" si="6"/>
        <v>Summer</v>
      </c>
      <c r="H93" s="16">
        <f>weather_data!E93-weather_data!D93</f>
        <v>0.5</v>
      </c>
      <c r="I93" s="15">
        <f>IF(OR(weather_data!H93="light rain",weather_data!H93="moderate rain",weather_data!H93="drizzle",weather_data!H93="thunderstorm"),1,0)</f>
        <v>0</v>
      </c>
      <c r="J93" s="15">
        <f>IF(weather_data!I93&gt;=25,1,0)</f>
        <v>0</v>
      </c>
    </row>
    <row r="94" ht="15.75" customHeight="1">
      <c r="A94" s="13">
        <f>weather_data!B94</f>
        <v>45850.50694</v>
      </c>
      <c r="B94" s="14">
        <f t="shared" si="1"/>
        <v>45850</v>
      </c>
      <c r="C94" s="15" t="str">
        <f t="shared" si="2"/>
        <v>2025-07</v>
      </c>
      <c r="D94" s="15">
        <f t="shared" si="3"/>
        <v>7</v>
      </c>
      <c r="E94" s="15" t="str">
        <f t="shared" si="4"/>
        <v>lipca</v>
      </c>
      <c r="F94" s="15" t="str">
        <f t="shared" si="5"/>
        <v>Q3</v>
      </c>
      <c r="G94" s="15" t="str">
        <f t="shared" si="6"/>
        <v>Summer</v>
      </c>
      <c r="H94" s="16">
        <f>weather_data!E94-weather_data!D94</f>
        <v>-1</v>
      </c>
      <c r="I94" s="15">
        <f>IF(OR(weather_data!H94="light rain",weather_data!H94="moderate rain",weather_data!H94="drizzle",weather_data!H94="thunderstorm"),1,0)</f>
        <v>1</v>
      </c>
      <c r="J94" s="15">
        <f>IF(weather_data!I94&gt;=25,1,0)</f>
        <v>0</v>
      </c>
    </row>
    <row r="95" ht="15.75" customHeight="1">
      <c r="A95" s="13">
        <f>weather_data!B95</f>
        <v>45851.25</v>
      </c>
      <c r="B95" s="14">
        <f t="shared" si="1"/>
        <v>45851</v>
      </c>
      <c r="C95" s="15" t="str">
        <f t="shared" si="2"/>
        <v>2025-07</v>
      </c>
      <c r="D95" s="15">
        <f t="shared" si="3"/>
        <v>7</v>
      </c>
      <c r="E95" s="15" t="str">
        <f t="shared" si="4"/>
        <v>lipca</v>
      </c>
      <c r="F95" s="15" t="str">
        <f t="shared" si="5"/>
        <v>Q3</v>
      </c>
      <c r="G95" s="15" t="str">
        <f t="shared" si="6"/>
        <v>Summer</v>
      </c>
      <c r="H95" s="16">
        <f>weather_data!E95-weather_data!D95</f>
        <v>-1.1</v>
      </c>
      <c r="I95" s="15">
        <f>IF(OR(weather_data!H95="light rain",weather_data!H95="moderate rain",weather_data!H95="drizzle",weather_data!H95="thunderstorm"),1,0)</f>
        <v>0</v>
      </c>
      <c r="J95" s="15">
        <f>IF(weather_data!I95&gt;=25,1,0)</f>
        <v>1</v>
      </c>
    </row>
    <row r="96" ht="15.75" customHeight="1">
      <c r="A96" s="13">
        <f>weather_data!B96</f>
        <v>45852.5625</v>
      </c>
      <c r="B96" s="14">
        <f t="shared" si="1"/>
        <v>45852</v>
      </c>
      <c r="C96" s="15" t="str">
        <f t="shared" si="2"/>
        <v>2025-07</v>
      </c>
      <c r="D96" s="15">
        <f t="shared" si="3"/>
        <v>7</v>
      </c>
      <c r="E96" s="15" t="str">
        <f t="shared" si="4"/>
        <v>lipca</v>
      </c>
      <c r="F96" s="15" t="str">
        <f t="shared" si="5"/>
        <v>Q3</v>
      </c>
      <c r="G96" s="15" t="str">
        <f t="shared" si="6"/>
        <v>Summer</v>
      </c>
      <c r="H96" s="16">
        <f>weather_data!E96-weather_data!D96</f>
        <v>-0.3</v>
      </c>
      <c r="I96" s="15">
        <f>IF(OR(weather_data!H96="light rain",weather_data!H96="moderate rain",weather_data!H96="drizzle",weather_data!H96="thunderstorm"),1,0)</f>
        <v>1</v>
      </c>
      <c r="J96" s="15">
        <f>IF(weather_data!I96&gt;=25,1,0)</f>
        <v>0</v>
      </c>
    </row>
    <row r="97" ht="15.75" customHeight="1">
      <c r="A97" s="13">
        <f>weather_data!B97</f>
        <v>45853.35417</v>
      </c>
      <c r="B97" s="14">
        <f t="shared" si="1"/>
        <v>45853</v>
      </c>
      <c r="C97" s="15" t="str">
        <f t="shared" si="2"/>
        <v>2025-07</v>
      </c>
      <c r="D97" s="15">
        <f t="shared" si="3"/>
        <v>7</v>
      </c>
      <c r="E97" s="15" t="str">
        <f t="shared" si="4"/>
        <v>lipca</v>
      </c>
      <c r="F97" s="15" t="str">
        <f t="shared" si="5"/>
        <v>Q3</v>
      </c>
      <c r="G97" s="15" t="str">
        <f t="shared" si="6"/>
        <v>Summer</v>
      </c>
      <c r="H97" s="16">
        <f>weather_data!E97-weather_data!D97</f>
        <v>0.7</v>
      </c>
      <c r="I97" s="15">
        <f>IF(OR(weather_data!H97="light rain",weather_data!H97="moderate rain",weather_data!H97="drizzle",weather_data!H97="thunderstorm"),1,0)</f>
        <v>0</v>
      </c>
      <c r="J97" s="15">
        <f>IF(weather_data!I97&gt;=25,1,0)</f>
        <v>0</v>
      </c>
    </row>
    <row r="98" ht="15.75" customHeight="1">
      <c r="A98" s="13">
        <f>weather_data!B98</f>
        <v>45854.82639</v>
      </c>
      <c r="B98" s="14">
        <f t="shared" si="1"/>
        <v>45854</v>
      </c>
      <c r="C98" s="15" t="str">
        <f t="shared" si="2"/>
        <v>2025-07</v>
      </c>
      <c r="D98" s="15">
        <f t="shared" si="3"/>
        <v>7</v>
      </c>
      <c r="E98" s="15" t="str">
        <f t="shared" si="4"/>
        <v>lipca</v>
      </c>
      <c r="F98" s="15" t="str">
        <f t="shared" si="5"/>
        <v>Q3</v>
      </c>
      <c r="G98" s="15" t="str">
        <f t="shared" si="6"/>
        <v>Summer</v>
      </c>
      <c r="H98" s="16">
        <f>weather_data!E98-weather_data!D98</f>
        <v>1.2</v>
      </c>
      <c r="I98" s="15">
        <f>IF(OR(weather_data!H98="light rain",weather_data!H98="moderate rain",weather_data!H98="drizzle",weather_data!H98="thunderstorm"),1,0)</f>
        <v>0</v>
      </c>
      <c r="J98" s="15">
        <f>IF(weather_data!I98&gt;=25,1,0)</f>
        <v>0</v>
      </c>
    </row>
    <row r="99" ht="15.75" customHeight="1">
      <c r="A99" s="13">
        <f>weather_data!B99</f>
        <v>45855.53472</v>
      </c>
      <c r="B99" s="14">
        <f t="shared" si="1"/>
        <v>45855</v>
      </c>
      <c r="C99" s="15" t="str">
        <f t="shared" si="2"/>
        <v>2025-07</v>
      </c>
      <c r="D99" s="15">
        <f t="shared" si="3"/>
        <v>7</v>
      </c>
      <c r="E99" s="15" t="str">
        <f t="shared" si="4"/>
        <v>lipca</v>
      </c>
      <c r="F99" s="15" t="str">
        <f t="shared" si="5"/>
        <v>Q3</v>
      </c>
      <c r="G99" s="15" t="str">
        <f t="shared" si="6"/>
        <v>Summer</v>
      </c>
      <c r="H99" s="16">
        <f>weather_data!E99-weather_data!D99</f>
        <v>0.6</v>
      </c>
      <c r="I99" s="15">
        <f>IF(OR(weather_data!H99="light rain",weather_data!H99="moderate rain",weather_data!H99="drizzle",weather_data!H99="thunderstorm"),1,0)</f>
        <v>0</v>
      </c>
      <c r="J99" s="15">
        <f>IF(weather_data!I99&gt;=25,1,0)</f>
        <v>0</v>
      </c>
    </row>
    <row r="100" ht="15.75" customHeight="1">
      <c r="A100" s="13">
        <f>weather_data!B100</f>
        <v>45856.77083</v>
      </c>
      <c r="B100" s="14">
        <f t="shared" si="1"/>
        <v>45856</v>
      </c>
      <c r="C100" s="15" t="str">
        <f t="shared" si="2"/>
        <v>2025-07</v>
      </c>
      <c r="D100" s="15">
        <f t="shared" si="3"/>
        <v>7</v>
      </c>
      <c r="E100" s="15" t="str">
        <f t="shared" si="4"/>
        <v>lipca</v>
      </c>
      <c r="F100" s="15" t="str">
        <f t="shared" si="5"/>
        <v>Q3</v>
      </c>
      <c r="G100" s="15" t="str">
        <f t="shared" si="6"/>
        <v>Summer</v>
      </c>
      <c r="H100" s="16">
        <f>weather_data!E100-weather_data!D100</f>
        <v>-0.9</v>
      </c>
      <c r="I100" s="15">
        <f>IF(OR(weather_data!H100="light rain",weather_data!H100="moderate rain",weather_data!H100="drizzle",weather_data!H100="thunderstorm"),1,0)</f>
        <v>0</v>
      </c>
      <c r="J100" s="15">
        <f>IF(weather_data!I100&gt;=25,1,0)</f>
        <v>0</v>
      </c>
    </row>
    <row r="101" ht="15.75" customHeight="1">
      <c r="A101" s="13">
        <f>weather_data!B101</f>
        <v>45857.75694</v>
      </c>
      <c r="B101" s="14">
        <f t="shared" si="1"/>
        <v>45857</v>
      </c>
      <c r="C101" s="15" t="str">
        <f t="shared" si="2"/>
        <v>2025-07</v>
      </c>
      <c r="D101" s="15">
        <f t="shared" si="3"/>
        <v>7</v>
      </c>
      <c r="E101" s="15" t="str">
        <f t="shared" si="4"/>
        <v>lipca</v>
      </c>
      <c r="F101" s="15" t="str">
        <f t="shared" si="5"/>
        <v>Q3</v>
      </c>
      <c r="G101" s="15" t="str">
        <f t="shared" si="6"/>
        <v>Summer</v>
      </c>
      <c r="H101" s="16">
        <f>weather_data!E101-weather_data!D101</f>
        <v>1.2</v>
      </c>
      <c r="I101" s="15">
        <f>IF(OR(weather_data!H101="light rain",weather_data!H101="moderate rain",weather_data!H101="drizzle",weather_data!H101="thunderstorm"),1,0)</f>
        <v>0</v>
      </c>
      <c r="J101" s="15">
        <f>IF(weather_data!I101&gt;=25,1,0)</f>
        <v>0</v>
      </c>
    </row>
    <row r="102" ht="15.75" customHeight="1">
      <c r="A102" s="13">
        <f>weather_data!B102</f>
        <v>45858.45139</v>
      </c>
      <c r="B102" s="14">
        <f t="shared" si="1"/>
        <v>45858</v>
      </c>
      <c r="C102" s="15" t="str">
        <f t="shared" si="2"/>
        <v>2025-07</v>
      </c>
      <c r="D102" s="15">
        <f t="shared" si="3"/>
        <v>7</v>
      </c>
      <c r="E102" s="15" t="str">
        <f t="shared" si="4"/>
        <v>lipca</v>
      </c>
      <c r="F102" s="15" t="str">
        <f t="shared" si="5"/>
        <v>Q3</v>
      </c>
      <c r="G102" s="15" t="str">
        <f t="shared" si="6"/>
        <v>Summer</v>
      </c>
      <c r="H102" s="16">
        <f>weather_data!E102-weather_data!D102</f>
        <v>-0.6</v>
      </c>
      <c r="I102" s="15">
        <f>IF(OR(weather_data!H102="light rain",weather_data!H102="moderate rain",weather_data!H102="drizzle",weather_data!H102="thunderstorm"),1,0)</f>
        <v>0</v>
      </c>
      <c r="J102" s="15">
        <f>IF(weather_data!I102&gt;=25,1,0)</f>
        <v>0</v>
      </c>
    </row>
    <row r="103" ht="15.75" customHeight="1">
      <c r="A103" s="13">
        <f>weather_data!B103</f>
        <v>45860.25</v>
      </c>
      <c r="B103" s="14">
        <f t="shared" si="1"/>
        <v>45860</v>
      </c>
      <c r="C103" s="15" t="str">
        <f t="shared" si="2"/>
        <v>2025-07</v>
      </c>
      <c r="D103" s="15">
        <f t="shared" si="3"/>
        <v>7</v>
      </c>
      <c r="E103" s="15" t="str">
        <f t="shared" si="4"/>
        <v>lipca</v>
      </c>
      <c r="F103" s="15" t="str">
        <f t="shared" si="5"/>
        <v>Q3</v>
      </c>
      <c r="G103" s="15" t="str">
        <f t="shared" si="6"/>
        <v>Summer</v>
      </c>
      <c r="H103" s="16">
        <f>weather_data!E103-weather_data!D103</f>
        <v>1</v>
      </c>
      <c r="I103" s="15">
        <f>IF(OR(weather_data!H103="light rain",weather_data!H103="moderate rain",weather_data!H103="drizzle",weather_data!H103="thunderstorm"),1,0)</f>
        <v>0</v>
      </c>
      <c r="J103" s="15">
        <f>IF(weather_data!I103&gt;=25,1,0)</f>
        <v>0</v>
      </c>
    </row>
    <row r="104" ht="15.75" customHeight="1">
      <c r="A104" s="13">
        <f>weather_data!B104</f>
        <v>45861.79861</v>
      </c>
      <c r="B104" s="14">
        <f t="shared" si="1"/>
        <v>45861</v>
      </c>
      <c r="C104" s="15" t="str">
        <f t="shared" si="2"/>
        <v>2025-07</v>
      </c>
      <c r="D104" s="15">
        <f t="shared" si="3"/>
        <v>7</v>
      </c>
      <c r="E104" s="15" t="str">
        <f t="shared" si="4"/>
        <v>lipca</v>
      </c>
      <c r="F104" s="15" t="str">
        <f t="shared" si="5"/>
        <v>Q3</v>
      </c>
      <c r="G104" s="15" t="str">
        <f t="shared" si="6"/>
        <v>Summer</v>
      </c>
      <c r="H104" s="16">
        <f>weather_data!E104-weather_data!D104</f>
        <v>0</v>
      </c>
      <c r="I104" s="15">
        <f>IF(OR(weather_data!H104="light rain",weather_data!H104="moderate rain",weather_data!H104="drizzle",weather_data!H104="thunderstorm"),1,0)</f>
        <v>0</v>
      </c>
      <c r="J104" s="15">
        <f>IF(weather_data!I104&gt;=25,1,0)</f>
        <v>0</v>
      </c>
    </row>
    <row r="105" ht="15.75" customHeight="1">
      <c r="A105" s="13">
        <f>weather_data!B105</f>
        <v>45862.49306</v>
      </c>
      <c r="B105" s="14">
        <f t="shared" si="1"/>
        <v>45862</v>
      </c>
      <c r="C105" s="15" t="str">
        <f t="shared" si="2"/>
        <v>2025-07</v>
      </c>
      <c r="D105" s="15">
        <f t="shared" si="3"/>
        <v>7</v>
      </c>
      <c r="E105" s="15" t="str">
        <f t="shared" si="4"/>
        <v>lipca</v>
      </c>
      <c r="F105" s="15" t="str">
        <f t="shared" si="5"/>
        <v>Q3</v>
      </c>
      <c r="G105" s="15" t="str">
        <f t="shared" si="6"/>
        <v>Summer</v>
      </c>
      <c r="H105" s="16">
        <f>weather_data!E105-weather_data!D105</f>
        <v>0.1</v>
      </c>
      <c r="I105" s="15">
        <f>IF(OR(weather_data!H105="light rain",weather_data!H105="moderate rain",weather_data!H105="drizzle",weather_data!H105="thunderstorm"),1,0)</f>
        <v>0</v>
      </c>
      <c r="J105" s="15">
        <f>IF(weather_data!I105&gt;=25,1,0)</f>
        <v>0</v>
      </c>
    </row>
    <row r="106" ht="15.75" customHeight="1">
      <c r="A106" s="13">
        <f>weather_data!B106</f>
        <v>45863.83333</v>
      </c>
      <c r="B106" s="14">
        <f t="shared" si="1"/>
        <v>45863</v>
      </c>
      <c r="C106" s="15" t="str">
        <f t="shared" si="2"/>
        <v>2025-07</v>
      </c>
      <c r="D106" s="15">
        <f t="shared" si="3"/>
        <v>7</v>
      </c>
      <c r="E106" s="15" t="str">
        <f t="shared" si="4"/>
        <v>lipca</v>
      </c>
      <c r="F106" s="15" t="str">
        <f t="shared" si="5"/>
        <v>Q3</v>
      </c>
      <c r="G106" s="15" t="str">
        <f t="shared" si="6"/>
        <v>Summer</v>
      </c>
      <c r="H106" s="16">
        <f>weather_data!E106-weather_data!D106</f>
        <v>-0.7</v>
      </c>
      <c r="I106" s="15">
        <f>IF(OR(weather_data!H106="light rain",weather_data!H106="moderate rain",weather_data!H106="drizzle",weather_data!H106="thunderstorm"),1,0)</f>
        <v>0</v>
      </c>
      <c r="J106" s="15">
        <f>IF(weather_data!I106&gt;=25,1,0)</f>
        <v>0</v>
      </c>
    </row>
    <row r="107" ht="15.75" customHeight="1">
      <c r="A107" s="13">
        <f>weather_data!B107</f>
        <v>45864.54167</v>
      </c>
      <c r="B107" s="14">
        <f t="shared" si="1"/>
        <v>45864</v>
      </c>
      <c r="C107" s="15" t="str">
        <f t="shared" si="2"/>
        <v>2025-07</v>
      </c>
      <c r="D107" s="15">
        <f t="shared" si="3"/>
        <v>7</v>
      </c>
      <c r="E107" s="15" t="str">
        <f t="shared" si="4"/>
        <v>lipca</v>
      </c>
      <c r="F107" s="15" t="str">
        <f t="shared" si="5"/>
        <v>Q3</v>
      </c>
      <c r="G107" s="15" t="str">
        <f t="shared" si="6"/>
        <v>Summer</v>
      </c>
      <c r="H107" s="16">
        <f>weather_data!E107-weather_data!D107</f>
        <v>0.4</v>
      </c>
      <c r="I107" s="15">
        <f>IF(OR(weather_data!H107="light rain",weather_data!H107="moderate rain",weather_data!H107="drizzle",weather_data!H107="thunderstorm"),1,0)</f>
        <v>1</v>
      </c>
      <c r="J107" s="15">
        <f>IF(weather_data!I107&gt;=25,1,0)</f>
        <v>1</v>
      </c>
    </row>
    <row r="108" ht="15.75" customHeight="1">
      <c r="A108" s="13">
        <f>weather_data!B108</f>
        <v>45865.84028</v>
      </c>
      <c r="B108" s="14">
        <f t="shared" si="1"/>
        <v>45865</v>
      </c>
      <c r="C108" s="15" t="str">
        <f t="shared" si="2"/>
        <v>2025-07</v>
      </c>
      <c r="D108" s="15">
        <f t="shared" si="3"/>
        <v>7</v>
      </c>
      <c r="E108" s="15" t="str">
        <f t="shared" si="4"/>
        <v>lipca</v>
      </c>
      <c r="F108" s="15" t="str">
        <f t="shared" si="5"/>
        <v>Q3</v>
      </c>
      <c r="G108" s="15" t="str">
        <f t="shared" si="6"/>
        <v>Summer</v>
      </c>
      <c r="H108" s="16">
        <f>weather_data!E108-weather_data!D108</f>
        <v>0.2</v>
      </c>
      <c r="I108" s="15">
        <f>IF(OR(weather_data!H108="light rain",weather_data!H108="moderate rain",weather_data!H108="drizzle",weather_data!H108="thunderstorm"),1,0)</f>
        <v>0</v>
      </c>
      <c r="J108" s="15">
        <f>IF(weather_data!I108&gt;=25,1,0)</f>
        <v>0</v>
      </c>
    </row>
    <row r="109" ht="15.75" customHeight="1">
      <c r="A109" s="13">
        <f>weather_data!B109</f>
        <v>45866.86806</v>
      </c>
      <c r="B109" s="14">
        <f t="shared" si="1"/>
        <v>45866</v>
      </c>
      <c r="C109" s="15" t="str">
        <f t="shared" si="2"/>
        <v>2025-07</v>
      </c>
      <c r="D109" s="15">
        <f t="shared" si="3"/>
        <v>7</v>
      </c>
      <c r="E109" s="15" t="str">
        <f t="shared" si="4"/>
        <v>lipca</v>
      </c>
      <c r="F109" s="15" t="str">
        <f t="shared" si="5"/>
        <v>Q3</v>
      </c>
      <c r="G109" s="15" t="str">
        <f t="shared" si="6"/>
        <v>Summer</v>
      </c>
      <c r="H109" s="16">
        <f>weather_data!E109-weather_data!D109</f>
        <v>0.5</v>
      </c>
      <c r="I109" s="15">
        <f>IF(OR(weather_data!H109="light rain",weather_data!H109="moderate rain",weather_data!H109="drizzle",weather_data!H109="thunderstorm"),1,0)</f>
        <v>0</v>
      </c>
      <c r="J109" s="15">
        <f>IF(weather_data!I109&gt;=25,1,0)</f>
        <v>0</v>
      </c>
    </row>
    <row r="110" ht="15.75" customHeight="1">
      <c r="A110" s="13">
        <f>weather_data!B110</f>
        <v>45868.6875</v>
      </c>
      <c r="B110" s="14">
        <f t="shared" si="1"/>
        <v>45868</v>
      </c>
      <c r="C110" s="15" t="str">
        <f t="shared" si="2"/>
        <v>2025-07</v>
      </c>
      <c r="D110" s="15">
        <f t="shared" si="3"/>
        <v>7</v>
      </c>
      <c r="E110" s="15" t="str">
        <f t="shared" si="4"/>
        <v>lipca</v>
      </c>
      <c r="F110" s="15" t="str">
        <f t="shared" si="5"/>
        <v>Q3</v>
      </c>
      <c r="G110" s="15" t="str">
        <f t="shared" si="6"/>
        <v>Summer</v>
      </c>
      <c r="H110" s="16">
        <f>weather_data!E110-weather_data!D110</f>
        <v>0.4</v>
      </c>
      <c r="I110" s="15">
        <f>IF(OR(weather_data!H110="light rain",weather_data!H110="moderate rain",weather_data!H110="drizzle",weather_data!H110="thunderstorm"),1,0)</f>
        <v>0</v>
      </c>
      <c r="J110" s="15">
        <f>IF(weather_data!I110&gt;=25,1,0)</f>
        <v>0</v>
      </c>
    </row>
    <row r="111" ht="15.75" customHeight="1">
      <c r="A111" s="13">
        <f>weather_data!B111</f>
        <v>45869.81944</v>
      </c>
      <c r="B111" s="14">
        <f t="shared" si="1"/>
        <v>45869</v>
      </c>
      <c r="C111" s="15" t="str">
        <f t="shared" si="2"/>
        <v>2025-07</v>
      </c>
      <c r="D111" s="15">
        <f t="shared" si="3"/>
        <v>7</v>
      </c>
      <c r="E111" s="15" t="str">
        <f t="shared" si="4"/>
        <v>lipca</v>
      </c>
      <c r="F111" s="15" t="str">
        <f t="shared" si="5"/>
        <v>Q3</v>
      </c>
      <c r="G111" s="15" t="str">
        <f t="shared" si="6"/>
        <v>Summer</v>
      </c>
      <c r="H111" s="16">
        <f>weather_data!E111-weather_data!D111</f>
        <v>0.6</v>
      </c>
      <c r="I111" s="15">
        <f>IF(OR(weather_data!H111="light rain",weather_data!H111="moderate rain",weather_data!H111="drizzle",weather_data!H111="thunderstorm"),1,0)</f>
        <v>0</v>
      </c>
      <c r="J111" s="15">
        <f>IF(weather_data!I111&gt;=25,1,0)</f>
        <v>0</v>
      </c>
    </row>
    <row r="112" ht="15.75" customHeight="1">
      <c r="A112" s="13">
        <f>weather_data!B112</f>
        <v>45870.84028</v>
      </c>
      <c r="B112" s="14">
        <f t="shared" si="1"/>
        <v>45870</v>
      </c>
      <c r="C112" s="15" t="str">
        <f t="shared" si="2"/>
        <v>2025-08</v>
      </c>
      <c r="D112" s="15">
        <f t="shared" si="3"/>
        <v>8</v>
      </c>
      <c r="E112" s="15" t="str">
        <f t="shared" si="4"/>
        <v>sierpnia</v>
      </c>
      <c r="F112" s="15" t="str">
        <f t="shared" si="5"/>
        <v>Q3</v>
      </c>
      <c r="G112" s="15" t="str">
        <f t="shared" si="6"/>
        <v>Summer</v>
      </c>
      <c r="H112" s="16">
        <f>weather_data!E112-weather_data!D112</f>
        <v>0.6</v>
      </c>
      <c r="I112" s="15">
        <f>IF(OR(weather_data!H112="light rain",weather_data!H112="moderate rain",weather_data!H112="drizzle",weather_data!H112="thunderstorm"),1,0)</f>
        <v>0</v>
      </c>
      <c r="J112" s="15">
        <f>IF(weather_data!I112&gt;=25,1,0)</f>
        <v>0</v>
      </c>
    </row>
    <row r="113" ht="15.75" customHeight="1">
      <c r="A113" s="13">
        <f>weather_data!B113</f>
        <v>45871.89583</v>
      </c>
      <c r="B113" s="14">
        <f t="shared" si="1"/>
        <v>45871</v>
      </c>
      <c r="C113" s="15" t="str">
        <f t="shared" si="2"/>
        <v>2025-08</v>
      </c>
      <c r="D113" s="15">
        <f t="shared" si="3"/>
        <v>8</v>
      </c>
      <c r="E113" s="15" t="str">
        <f t="shared" si="4"/>
        <v>sierpnia</v>
      </c>
      <c r="F113" s="15" t="str">
        <f t="shared" si="5"/>
        <v>Q3</v>
      </c>
      <c r="G113" s="15" t="str">
        <f t="shared" si="6"/>
        <v>Summer</v>
      </c>
      <c r="H113" s="16">
        <f>weather_data!E113-weather_data!D113</f>
        <v>0.5</v>
      </c>
      <c r="I113" s="15">
        <f>IF(OR(weather_data!H113="light rain",weather_data!H113="moderate rain",weather_data!H113="drizzle",weather_data!H113="thunderstorm"),1,0)</f>
        <v>0</v>
      </c>
      <c r="J113" s="15">
        <f>IF(weather_data!I113&gt;=25,1,0)</f>
        <v>0</v>
      </c>
    </row>
    <row r="114" ht="15.75" customHeight="1">
      <c r="A114" s="13">
        <f>weather_data!B114</f>
        <v>45872.59028</v>
      </c>
      <c r="B114" s="14">
        <f t="shared" si="1"/>
        <v>45872</v>
      </c>
      <c r="C114" s="15" t="str">
        <f t="shared" si="2"/>
        <v>2025-08</v>
      </c>
      <c r="D114" s="15">
        <f t="shared" si="3"/>
        <v>8</v>
      </c>
      <c r="E114" s="15" t="str">
        <f t="shared" si="4"/>
        <v>sierpnia</v>
      </c>
      <c r="F114" s="15" t="str">
        <f t="shared" si="5"/>
        <v>Q3</v>
      </c>
      <c r="G114" s="15" t="str">
        <f t="shared" si="6"/>
        <v>Summer</v>
      </c>
      <c r="H114" s="16">
        <f>weather_data!E114-weather_data!D114</f>
        <v>-0.9</v>
      </c>
      <c r="I114" s="15">
        <f>IF(OR(weather_data!H114="light rain",weather_data!H114="moderate rain",weather_data!H114="drizzle",weather_data!H114="thunderstorm"),1,0)</f>
        <v>0</v>
      </c>
      <c r="J114" s="15">
        <f>IF(weather_data!I114&gt;=25,1,0)</f>
        <v>0</v>
      </c>
    </row>
    <row r="115" ht="15.75" customHeight="1">
      <c r="A115" s="13">
        <f>weather_data!B115</f>
        <v>45873.61111</v>
      </c>
      <c r="B115" s="14">
        <f t="shared" si="1"/>
        <v>45873</v>
      </c>
      <c r="C115" s="15" t="str">
        <f t="shared" si="2"/>
        <v>2025-08</v>
      </c>
      <c r="D115" s="15">
        <f t="shared" si="3"/>
        <v>8</v>
      </c>
      <c r="E115" s="15" t="str">
        <f t="shared" si="4"/>
        <v>sierpnia</v>
      </c>
      <c r="F115" s="15" t="str">
        <f t="shared" si="5"/>
        <v>Q3</v>
      </c>
      <c r="G115" s="15" t="str">
        <f t="shared" si="6"/>
        <v>Summer</v>
      </c>
      <c r="H115" s="16">
        <f>weather_data!E115-weather_data!D115</f>
        <v>-0.9</v>
      </c>
      <c r="I115" s="15">
        <f>IF(OR(weather_data!H115="light rain",weather_data!H115="moderate rain",weather_data!H115="drizzle",weather_data!H115="thunderstorm"),1,0)</f>
        <v>1</v>
      </c>
      <c r="J115" s="15">
        <f>IF(weather_data!I115&gt;=25,1,0)</f>
        <v>0</v>
      </c>
    </row>
    <row r="116" ht="15.75" customHeight="1">
      <c r="A116" s="13">
        <f>weather_data!B116</f>
        <v>45874.90972</v>
      </c>
      <c r="B116" s="14">
        <f t="shared" si="1"/>
        <v>45874</v>
      </c>
      <c r="C116" s="15" t="str">
        <f t="shared" si="2"/>
        <v>2025-08</v>
      </c>
      <c r="D116" s="15">
        <f t="shared" si="3"/>
        <v>8</v>
      </c>
      <c r="E116" s="15" t="str">
        <f t="shared" si="4"/>
        <v>sierpnia</v>
      </c>
      <c r="F116" s="15" t="str">
        <f t="shared" si="5"/>
        <v>Q3</v>
      </c>
      <c r="G116" s="15" t="str">
        <f t="shared" si="6"/>
        <v>Summer</v>
      </c>
      <c r="H116" s="16">
        <f>weather_data!E116-weather_data!D116</f>
        <v>-0.8</v>
      </c>
      <c r="I116" s="15">
        <f>IF(OR(weather_data!H116="light rain",weather_data!H116="moderate rain",weather_data!H116="drizzle",weather_data!H116="thunderstorm"),1,0)</f>
        <v>0</v>
      </c>
      <c r="J116" s="15">
        <f>IF(weather_data!I116&gt;=25,1,0)</f>
        <v>0</v>
      </c>
    </row>
    <row r="117" ht="15.75" customHeight="1">
      <c r="A117" s="13">
        <f>weather_data!B117</f>
        <v>45875.55556</v>
      </c>
      <c r="B117" s="14">
        <f t="shared" si="1"/>
        <v>45875</v>
      </c>
      <c r="C117" s="15" t="str">
        <f t="shared" si="2"/>
        <v>2025-08</v>
      </c>
      <c r="D117" s="15">
        <f t="shared" si="3"/>
        <v>8</v>
      </c>
      <c r="E117" s="15" t="str">
        <f t="shared" si="4"/>
        <v>sierpnia</v>
      </c>
      <c r="F117" s="15" t="str">
        <f t="shared" si="5"/>
        <v>Q3</v>
      </c>
      <c r="G117" s="15" t="str">
        <f t="shared" si="6"/>
        <v>Summer</v>
      </c>
      <c r="H117" s="16">
        <f>weather_data!E117-weather_data!D117</f>
        <v>-0.6</v>
      </c>
      <c r="I117" s="15">
        <f>IF(OR(weather_data!H117="light rain",weather_data!H117="moderate rain",weather_data!H117="drizzle",weather_data!H117="thunderstorm"),1,0)</f>
        <v>0</v>
      </c>
      <c r="J117" s="15">
        <f>IF(weather_data!I117&gt;=25,1,0)</f>
        <v>0</v>
      </c>
    </row>
    <row r="118" ht="15.75" customHeight="1">
      <c r="A118" s="13">
        <f>weather_data!B118</f>
        <v>45876.83333</v>
      </c>
      <c r="B118" s="14">
        <f t="shared" si="1"/>
        <v>45876</v>
      </c>
      <c r="C118" s="15" t="str">
        <f t="shared" si="2"/>
        <v>2025-08</v>
      </c>
      <c r="D118" s="15">
        <f t="shared" si="3"/>
        <v>8</v>
      </c>
      <c r="E118" s="15" t="str">
        <f t="shared" si="4"/>
        <v>sierpnia</v>
      </c>
      <c r="F118" s="15" t="str">
        <f t="shared" si="5"/>
        <v>Q3</v>
      </c>
      <c r="G118" s="15" t="str">
        <f t="shared" si="6"/>
        <v>Summer</v>
      </c>
      <c r="H118" s="16">
        <f>weather_data!E118-weather_data!D118</f>
        <v>1.1</v>
      </c>
      <c r="I118" s="15">
        <f>IF(OR(weather_data!H118="light rain",weather_data!H118="moderate rain",weather_data!H118="drizzle",weather_data!H118="thunderstorm"),1,0)</f>
        <v>1</v>
      </c>
      <c r="J118" s="15">
        <f>IF(weather_data!I118&gt;=25,1,0)</f>
        <v>0</v>
      </c>
    </row>
    <row r="119" ht="15.75" customHeight="1">
      <c r="A119" s="13">
        <f>weather_data!B119</f>
        <v>45877.63194</v>
      </c>
      <c r="B119" s="14">
        <f t="shared" si="1"/>
        <v>45877</v>
      </c>
      <c r="C119" s="15" t="str">
        <f t="shared" si="2"/>
        <v>2025-08</v>
      </c>
      <c r="D119" s="15">
        <f t="shared" si="3"/>
        <v>8</v>
      </c>
      <c r="E119" s="15" t="str">
        <f t="shared" si="4"/>
        <v>sierpnia</v>
      </c>
      <c r="F119" s="15" t="str">
        <f t="shared" si="5"/>
        <v>Q3</v>
      </c>
      <c r="G119" s="15" t="str">
        <f t="shared" si="6"/>
        <v>Summer</v>
      </c>
      <c r="H119" s="16">
        <f>weather_data!E119-weather_data!D119</f>
        <v>-1.1</v>
      </c>
      <c r="I119" s="15">
        <f>IF(OR(weather_data!H119="light rain",weather_data!H119="moderate rain",weather_data!H119="drizzle",weather_data!H119="thunderstorm"),1,0)</f>
        <v>0</v>
      </c>
      <c r="J119" s="15">
        <f>IF(weather_data!I119&gt;=25,1,0)</f>
        <v>0</v>
      </c>
    </row>
    <row r="120" ht="15.75" customHeight="1">
      <c r="A120" s="13">
        <f>weather_data!B120</f>
        <v>45878.59722</v>
      </c>
      <c r="B120" s="14">
        <f t="shared" si="1"/>
        <v>45878</v>
      </c>
      <c r="C120" s="15" t="str">
        <f t="shared" si="2"/>
        <v>2025-08</v>
      </c>
      <c r="D120" s="15">
        <f t="shared" si="3"/>
        <v>8</v>
      </c>
      <c r="E120" s="15" t="str">
        <f t="shared" si="4"/>
        <v>sierpnia</v>
      </c>
      <c r="F120" s="15" t="str">
        <f t="shared" si="5"/>
        <v>Q3</v>
      </c>
      <c r="G120" s="15" t="str">
        <f t="shared" si="6"/>
        <v>Summer</v>
      </c>
      <c r="H120" s="16">
        <f>weather_data!E120-weather_data!D120</f>
        <v>0.3</v>
      </c>
      <c r="I120" s="15">
        <f>IF(OR(weather_data!H120="light rain",weather_data!H120="moderate rain",weather_data!H120="drizzle",weather_data!H120="thunderstorm"),1,0)</f>
        <v>0</v>
      </c>
      <c r="J120" s="15">
        <f>IF(weather_data!I120&gt;=25,1,0)</f>
        <v>0</v>
      </c>
    </row>
    <row r="121" ht="15.75" customHeight="1">
      <c r="A121" s="13">
        <f>weather_data!B121</f>
        <v>45879.69444</v>
      </c>
      <c r="B121" s="14">
        <f t="shared" si="1"/>
        <v>45879</v>
      </c>
      <c r="C121" s="15" t="str">
        <f t="shared" si="2"/>
        <v>2025-08</v>
      </c>
      <c r="D121" s="15">
        <f t="shared" si="3"/>
        <v>8</v>
      </c>
      <c r="E121" s="15" t="str">
        <f t="shared" si="4"/>
        <v>sierpnia</v>
      </c>
      <c r="F121" s="15" t="str">
        <f t="shared" si="5"/>
        <v>Q3</v>
      </c>
      <c r="G121" s="15" t="str">
        <f t="shared" si="6"/>
        <v>Summer</v>
      </c>
      <c r="H121" s="16">
        <f>weather_data!E121-weather_data!D121</f>
        <v>0.4</v>
      </c>
      <c r="I121" s="15">
        <f>IF(OR(weather_data!H121="light rain",weather_data!H121="moderate rain",weather_data!H121="drizzle",weather_data!H121="thunderstorm"),1,0)</f>
        <v>0</v>
      </c>
      <c r="J121" s="15">
        <f>IF(weather_data!I121&gt;=25,1,0)</f>
        <v>0</v>
      </c>
    </row>
    <row r="122" ht="15.75" customHeight="1">
      <c r="A122" s="13">
        <f>weather_data!B122</f>
        <v>45880.34028</v>
      </c>
      <c r="B122" s="14">
        <f t="shared" si="1"/>
        <v>45880</v>
      </c>
      <c r="C122" s="15" t="str">
        <f t="shared" si="2"/>
        <v>2025-08</v>
      </c>
      <c r="D122" s="15">
        <f t="shared" si="3"/>
        <v>8</v>
      </c>
      <c r="E122" s="15" t="str">
        <f t="shared" si="4"/>
        <v>sierpnia</v>
      </c>
      <c r="F122" s="15" t="str">
        <f t="shared" si="5"/>
        <v>Q3</v>
      </c>
      <c r="G122" s="15" t="str">
        <f t="shared" si="6"/>
        <v>Summer</v>
      </c>
      <c r="H122" s="16">
        <f>weather_data!E122-weather_data!D122</f>
        <v>0.1</v>
      </c>
      <c r="I122" s="15">
        <f>IF(OR(weather_data!H122="light rain",weather_data!H122="moderate rain",weather_data!H122="drizzle",weather_data!H122="thunderstorm"),1,0)</f>
        <v>1</v>
      </c>
      <c r="J122" s="15">
        <f>IF(weather_data!I122&gt;=25,1,0)</f>
        <v>0</v>
      </c>
    </row>
    <row r="123" ht="15.75" customHeight="1">
      <c r="A123" s="13">
        <f>weather_data!B123</f>
        <v>45881.42361</v>
      </c>
      <c r="B123" s="14">
        <f t="shared" si="1"/>
        <v>45881</v>
      </c>
      <c r="C123" s="15" t="str">
        <f t="shared" si="2"/>
        <v>2025-08</v>
      </c>
      <c r="D123" s="15">
        <f t="shared" si="3"/>
        <v>8</v>
      </c>
      <c r="E123" s="15" t="str">
        <f t="shared" si="4"/>
        <v>sierpnia</v>
      </c>
      <c r="F123" s="15" t="str">
        <f t="shared" si="5"/>
        <v>Q3</v>
      </c>
      <c r="G123" s="15" t="str">
        <f t="shared" si="6"/>
        <v>Summer</v>
      </c>
      <c r="H123" s="16">
        <f>weather_data!E123-weather_data!D123</f>
        <v>0.8</v>
      </c>
      <c r="I123" s="15">
        <f>IF(OR(weather_data!H123="light rain",weather_data!H123="moderate rain",weather_data!H123="drizzle",weather_data!H123="thunderstorm"),1,0)</f>
        <v>0</v>
      </c>
      <c r="J123" s="15">
        <f>IF(weather_data!I123&gt;=25,1,0)</f>
        <v>0</v>
      </c>
    </row>
    <row r="124" ht="15.75" customHeight="1">
      <c r="A124" s="13">
        <f>weather_data!B124</f>
        <v>45882.78472</v>
      </c>
      <c r="B124" s="14">
        <f t="shared" si="1"/>
        <v>45882</v>
      </c>
      <c r="C124" s="15" t="str">
        <f t="shared" si="2"/>
        <v>2025-08</v>
      </c>
      <c r="D124" s="15">
        <f t="shared" si="3"/>
        <v>8</v>
      </c>
      <c r="E124" s="15" t="str">
        <f t="shared" si="4"/>
        <v>sierpnia</v>
      </c>
      <c r="F124" s="15" t="str">
        <f t="shared" si="5"/>
        <v>Q3</v>
      </c>
      <c r="G124" s="15" t="str">
        <f t="shared" si="6"/>
        <v>Summer</v>
      </c>
      <c r="H124" s="16">
        <f>weather_data!E124-weather_data!D124</f>
        <v>0.6</v>
      </c>
      <c r="I124" s="15">
        <f>IF(OR(weather_data!H124="light rain",weather_data!H124="moderate rain",weather_data!H124="drizzle",weather_data!H124="thunderstorm"),1,0)</f>
        <v>1</v>
      </c>
      <c r="J124" s="15">
        <f>IF(weather_data!I124&gt;=25,1,0)</f>
        <v>0</v>
      </c>
    </row>
    <row r="125" ht="15.75" customHeight="1">
      <c r="A125" s="13">
        <f>weather_data!B125</f>
        <v>45883.45139</v>
      </c>
      <c r="B125" s="14">
        <f t="shared" si="1"/>
        <v>45883</v>
      </c>
      <c r="C125" s="15" t="str">
        <f t="shared" si="2"/>
        <v>2025-08</v>
      </c>
      <c r="D125" s="15">
        <f t="shared" si="3"/>
        <v>8</v>
      </c>
      <c r="E125" s="15" t="str">
        <f t="shared" si="4"/>
        <v>sierpnia</v>
      </c>
      <c r="F125" s="15" t="str">
        <f t="shared" si="5"/>
        <v>Q3</v>
      </c>
      <c r="G125" s="15" t="str">
        <f t="shared" si="6"/>
        <v>Summer</v>
      </c>
      <c r="H125" s="16">
        <f>weather_data!E125-weather_data!D125</f>
        <v>-0.1</v>
      </c>
      <c r="I125" s="15">
        <f>IF(OR(weather_data!H125="light rain",weather_data!H125="moderate rain",weather_data!H125="drizzle",weather_data!H125="thunderstorm"),1,0)</f>
        <v>0</v>
      </c>
      <c r="J125" s="15">
        <f>IF(weather_data!I125&gt;=25,1,0)</f>
        <v>0</v>
      </c>
    </row>
    <row r="126" ht="15.75" customHeight="1">
      <c r="A126" s="13">
        <f>weather_data!B126</f>
        <v>45884.5</v>
      </c>
      <c r="B126" s="14">
        <f t="shared" si="1"/>
        <v>45884</v>
      </c>
      <c r="C126" s="15" t="str">
        <f t="shared" si="2"/>
        <v>2025-08</v>
      </c>
      <c r="D126" s="15">
        <f t="shared" si="3"/>
        <v>8</v>
      </c>
      <c r="E126" s="15" t="str">
        <f t="shared" si="4"/>
        <v>sierpnia</v>
      </c>
      <c r="F126" s="15" t="str">
        <f t="shared" si="5"/>
        <v>Q3</v>
      </c>
      <c r="G126" s="15" t="str">
        <f t="shared" si="6"/>
        <v>Summer</v>
      </c>
      <c r="H126" s="16">
        <f>weather_data!E126-weather_data!D126</f>
        <v>-1</v>
      </c>
      <c r="I126" s="15">
        <f>IF(OR(weather_data!H126="light rain",weather_data!H126="moderate rain",weather_data!H126="drizzle",weather_data!H126="thunderstorm"),1,0)</f>
        <v>0</v>
      </c>
      <c r="J126" s="15">
        <f>IF(weather_data!I126&gt;=25,1,0)</f>
        <v>0</v>
      </c>
    </row>
    <row r="127" ht="15.75" customHeight="1">
      <c r="A127" s="13">
        <f>weather_data!B127</f>
        <v>45885.8125</v>
      </c>
      <c r="B127" s="14">
        <f t="shared" si="1"/>
        <v>45885</v>
      </c>
      <c r="C127" s="15" t="str">
        <f t="shared" si="2"/>
        <v>2025-08</v>
      </c>
      <c r="D127" s="15">
        <f t="shared" si="3"/>
        <v>8</v>
      </c>
      <c r="E127" s="15" t="str">
        <f t="shared" si="4"/>
        <v>sierpnia</v>
      </c>
      <c r="F127" s="15" t="str">
        <f t="shared" si="5"/>
        <v>Q3</v>
      </c>
      <c r="G127" s="15" t="str">
        <f t="shared" si="6"/>
        <v>Summer</v>
      </c>
      <c r="H127" s="16">
        <f>weather_data!E127-weather_data!D127</f>
        <v>0.8</v>
      </c>
      <c r="I127" s="15">
        <f>IF(OR(weather_data!H127="light rain",weather_data!H127="moderate rain",weather_data!H127="drizzle",weather_data!H127="thunderstorm"),1,0)</f>
        <v>0</v>
      </c>
      <c r="J127" s="15">
        <f>IF(weather_data!I127&gt;=25,1,0)</f>
        <v>0</v>
      </c>
    </row>
    <row r="128" ht="15.75" customHeight="1">
      <c r="A128" s="13">
        <f>weather_data!B128</f>
        <v>45886.69444</v>
      </c>
      <c r="B128" s="14">
        <f t="shared" si="1"/>
        <v>45886</v>
      </c>
      <c r="C128" s="15" t="str">
        <f t="shared" si="2"/>
        <v>2025-08</v>
      </c>
      <c r="D128" s="15">
        <f t="shared" si="3"/>
        <v>8</v>
      </c>
      <c r="E128" s="15" t="str">
        <f t="shared" si="4"/>
        <v>sierpnia</v>
      </c>
      <c r="F128" s="15" t="str">
        <f t="shared" si="5"/>
        <v>Q3</v>
      </c>
      <c r="G128" s="15" t="str">
        <f t="shared" si="6"/>
        <v>Summer</v>
      </c>
      <c r="H128" s="16">
        <f>weather_data!E128-weather_data!D128</f>
        <v>-1</v>
      </c>
      <c r="I128" s="15">
        <f>IF(OR(weather_data!H128="light rain",weather_data!H128="moderate rain",weather_data!H128="drizzle",weather_data!H128="thunderstorm"),1,0)</f>
        <v>0</v>
      </c>
      <c r="J128" s="15">
        <f>IF(weather_data!I128&gt;=25,1,0)</f>
        <v>0</v>
      </c>
    </row>
    <row r="129" ht="15.75" customHeight="1">
      <c r="A129" s="13">
        <f>weather_data!B129</f>
        <v>45887.85417</v>
      </c>
      <c r="B129" s="14">
        <f t="shared" si="1"/>
        <v>45887</v>
      </c>
      <c r="C129" s="15" t="str">
        <f t="shared" si="2"/>
        <v>2025-08</v>
      </c>
      <c r="D129" s="15">
        <f t="shared" si="3"/>
        <v>8</v>
      </c>
      <c r="E129" s="15" t="str">
        <f t="shared" si="4"/>
        <v>sierpnia</v>
      </c>
      <c r="F129" s="15" t="str">
        <f t="shared" si="5"/>
        <v>Q3</v>
      </c>
      <c r="G129" s="15" t="str">
        <f t="shared" si="6"/>
        <v>Summer</v>
      </c>
      <c r="H129" s="16">
        <f>weather_data!E129-weather_data!D129</f>
        <v>1.1</v>
      </c>
      <c r="I129" s="15">
        <f>IF(OR(weather_data!H129="light rain",weather_data!H129="moderate rain",weather_data!H129="drizzle",weather_data!H129="thunderstorm"),1,0)</f>
        <v>0</v>
      </c>
      <c r="J129" s="15">
        <f>IF(weather_data!I129&gt;=25,1,0)</f>
        <v>0</v>
      </c>
    </row>
    <row r="130" ht="15.75" customHeight="1">
      <c r="A130" s="13">
        <f>weather_data!B130</f>
        <v>45888.29861</v>
      </c>
      <c r="B130" s="14">
        <f t="shared" si="1"/>
        <v>45888</v>
      </c>
      <c r="C130" s="15" t="str">
        <f t="shared" si="2"/>
        <v>2025-08</v>
      </c>
      <c r="D130" s="15">
        <f t="shared" si="3"/>
        <v>8</v>
      </c>
      <c r="E130" s="15" t="str">
        <f t="shared" si="4"/>
        <v>sierpnia</v>
      </c>
      <c r="F130" s="15" t="str">
        <f t="shared" si="5"/>
        <v>Q3</v>
      </c>
      <c r="G130" s="15" t="str">
        <f t="shared" si="6"/>
        <v>Summer</v>
      </c>
      <c r="H130" s="16">
        <f>weather_data!E130-weather_data!D130</f>
        <v>0.5</v>
      </c>
      <c r="I130" s="15">
        <f>IF(OR(weather_data!H130="light rain",weather_data!H130="moderate rain",weather_data!H130="drizzle",weather_data!H130="thunderstorm"),1,0)</f>
        <v>1</v>
      </c>
      <c r="J130" s="15">
        <f>IF(weather_data!I130&gt;=25,1,0)</f>
        <v>0</v>
      </c>
    </row>
    <row r="131" ht="15.75" customHeight="1">
      <c r="A131" s="13">
        <f>weather_data!B131</f>
        <v>45889.8125</v>
      </c>
      <c r="B131" s="14">
        <f t="shared" si="1"/>
        <v>45889</v>
      </c>
      <c r="C131" s="15" t="str">
        <f t="shared" si="2"/>
        <v>2025-08</v>
      </c>
      <c r="D131" s="15">
        <f t="shared" si="3"/>
        <v>8</v>
      </c>
      <c r="E131" s="15" t="str">
        <f t="shared" si="4"/>
        <v>sierpnia</v>
      </c>
      <c r="F131" s="15" t="str">
        <f t="shared" si="5"/>
        <v>Q3</v>
      </c>
      <c r="G131" s="15" t="str">
        <f t="shared" si="6"/>
        <v>Summer</v>
      </c>
      <c r="H131" s="16">
        <f>weather_data!E131-weather_data!D131</f>
        <v>1.5</v>
      </c>
      <c r="I131" s="15">
        <f>IF(OR(weather_data!H131="light rain",weather_data!H131="moderate rain",weather_data!H131="drizzle",weather_data!H131="thunderstorm"),1,0)</f>
        <v>0</v>
      </c>
      <c r="J131" s="15">
        <f>IF(weather_data!I131&gt;=25,1,0)</f>
        <v>0</v>
      </c>
    </row>
    <row r="132" ht="15.75" customHeight="1">
      <c r="A132" s="13">
        <f>weather_data!B132</f>
        <v>45890.27778</v>
      </c>
      <c r="B132" s="14">
        <f t="shared" si="1"/>
        <v>45890</v>
      </c>
      <c r="C132" s="15" t="str">
        <f t="shared" si="2"/>
        <v>2025-08</v>
      </c>
      <c r="D132" s="15">
        <f t="shared" si="3"/>
        <v>8</v>
      </c>
      <c r="E132" s="15" t="str">
        <f t="shared" si="4"/>
        <v>sierpnia</v>
      </c>
      <c r="F132" s="15" t="str">
        <f t="shared" si="5"/>
        <v>Q3</v>
      </c>
      <c r="G132" s="15" t="str">
        <f t="shared" si="6"/>
        <v>Summer</v>
      </c>
      <c r="H132" s="16">
        <f>weather_data!E132-weather_data!D132</f>
        <v>0.3</v>
      </c>
      <c r="I132" s="15">
        <f>IF(OR(weather_data!H132="light rain",weather_data!H132="moderate rain",weather_data!H132="drizzle",weather_data!H132="thunderstorm"),1,0)</f>
        <v>0</v>
      </c>
      <c r="J132" s="15">
        <f>IF(weather_data!I132&gt;=25,1,0)</f>
        <v>0</v>
      </c>
    </row>
    <row r="133" ht="15.75" customHeight="1">
      <c r="A133" s="13">
        <f>weather_data!B133</f>
        <v>45891.77083</v>
      </c>
      <c r="B133" s="14">
        <f t="shared" si="1"/>
        <v>45891</v>
      </c>
      <c r="C133" s="15" t="str">
        <f t="shared" si="2"/>
        <v>2025-08</v>
      </c>
      <c r="D133" s="15">
        <f t="shared" si="3"/>
        <v>8</v>
      </c>
      <c r="E133" s="15" t="str">
        <f t="shared" si="4"/>
        <v>sierpnia</v>
      </c>
      <c r="F133" s="15" t="str">
        <f t="shared" si="5"/>
        <v>Q3</v>
      </c>
      <c r="G133" s="15" t="str">
        <f t="shared" si="6"/>
        <v>Summer</v>
      </c>
      <c r="H133" s="16">
        <f>weather_data!E133-weather_data!D133</f>
        <v>-0.7</v>
      </c>
      <c r="I133" s="15">
        <f>IF(OR(weather_data!H133="light rain",weather_data!H133="moderate rain",weather_data!H133="drizzle",weather_data!H133="thunderstorm"),1,0)</f>
        <v>0</v>
      </c>
      <c r="J133" s="15">
        <f>IF(weather_data!I133&gt;=25,1,0)</f>
        <v>1</v>
      </c>
    </row>
    <row r="134" ht="15.75" customHeight="1">
      <c r="A134" s="13">
        <f>weather_data!B134</f>
        <v>45892.26389</v>
      </c>
      <c r="B134" s="14">
        <f t="shared" si="1"/>
        <v>45892</v>
      </c>
      <c r="C134" s="15" t="str">
        <f t="shared" si="2"/>
        <v>2025-08</v>
      </c>
      <c r="D134" s="15">
        <f t="shared" si="3"/>
        <v>8</v>
      </c>
      <c r="E134" s="15" t="str">
        <f t="shared" si="4"/>
        <v>sierpnia</v>
      </c>
      <c r="F134" s="15" t="str">
        <f t="shared" si="5"/>
        <v>Q3</v>
      </c>
      <c r="G134" s="15" t="str">
        <f t="shared" si="6"/>
        <v>Summer</v>
      </c>
      <c r="H134" s="16">
        <f>weather_data!E134-weather_data!D134</f>
        <v>1.1</v>
      </c>
      <c r="I134" s="15">
        <f>IF(OR(weather_data!H134="light rain",weather_data!H134="moderate rain",weather_data!H134="drizzle",weather_data!H134="thunderstorm"),1,0)</f>
        <v>1</v>
      </c>
      <c r="J134" s="15">
        <f>IF(weather_data!I134&gt;=25,1,0)</f>
        <v>0</v>
      </c>
    </row>
    <row r="135" ht="15.75" customHeight="1">
      <c r="A135" s="13">
        <f>weather_data!B135</f>
        <v>45893.64583</v>
      </c>
      <c r="B135" s="14">
        <f t="shared" si="1"/>
        <v>45893</v>
      </c>
      <c r="C135" s="15" t="str">
        <f t="shared" si="2"/>
        <v>2025-08</v>
      </c>
      <c r="D135" s="15">
        <f t="shared" si="3"/>
        <v>8</v>
      </c>
      <c r="E135" s="15" t="str">
        <f t="shared" si="4"/>
        <v>sierpnia</v>
      </c>
      <c r="F135" s="15" t="str">
        <f t="shared" si="5"/>
        <v>Q3</v>
      </c>
      <c r="G135" s="15" t="str">
        <f t="shared" si="6"/>
        <v>Summer</v>
      </c>
      <c r="H135" s="16">
        <f>weather_data!E135-weather_data!D135</f>
        <v>0.7</v>
      </c>
      <c r="I135" s="15">
        <f>IF(OR(weather_data!H135="light rain",weather_data!H135="moderate rain",weather_data!H135="drizzle",weather_data!H135="thunderstorm"),1,0)</f>
        <v>0</v>
      </c>
      <c r="J135" s="15">
        <f>IF(weather_data!I135&gt;=25,1,0)</f>
        <v>0</v>
      </c>
    </row>
    <row r="136" ht="15.75" customHeight="1">
      <c r="A136" s="13">
        <f>weather_data!B136</f>
        <v>45894.81944</v>
      </c>
      <c r="B136" s="14">
        <f t="shared" si="1"/>
        <v>45894</v>
      </c>
      <c r="C136" s="15" t="str">
        <f t="shared" si="2"/>
        <v>2025-08</v>
      </c>
      <c r="D136" s="15">
        <f t="shared" si="3"/>
        <v>8</v>
      </c>
      <c r="E136" s="15" t="str">
        <f t="shared" si="4"/>
        <v>sierpnia</v>
      </c>
      <c r="F136" s="15" t="str">
        <f t="shared" si="5"/>
        <v>Q3</v>
      </c>
      <c r="G136" s="15" t="str">
        <f t="shared" si="6"/>
        <v>Summer</v>
      </c>
      <c r="H136" s="16">
        <f>weather_data!E136-weather_data!D136</f>
        <v>-1</v>
      </c>
      <c r="I136" s="15">
        <f>IF(OR(weather_data!H136="light rain",weather_data!H136="moderate rain",weather_data!H136="drizzle",weather_data!H136="thunderstorm"),1,0)</f>
        <v>0</v>
      </c>
      <c r="J136" s="15">
        <f>IF(weather_data!I136&gt;=25,1,0)</f>
        <v>0</v>
      </c>
    </row>
    <row r="137" ht="15.75" customHeight="1">
      <c r="A137" s="13">
        <f>weather_data!B137</f>
        <v>45895.5625</v>
      </c>
      <c r="B137" s="14">
        <f t="shared" si="1"/>
        <v>45895</v>
      </c>
      <c r="C137" s="15" t="str">
        <f t="shared" si="2"/>
        <v>2025-08</v>
      </c>
      <c r="D137" s="15">
        <f t="shared" si="3"/>
        <v>8</v>
      </c>
      <c r="E137" s="15" t="str">
        <f t="shared" si="4"/>
        <v>sierpnia</v>
      </c>
      <c r="F137" s="15" t="str">
        <f t="shared" si="5"/>
        <v>Q3</v>
      </c>
      <c r="G137" s="15" t="str">
        <f t="shared" si="6"/>
        <v>Summer</v>
      </c>
      <c r="H137" s="16">
        <f>weather_data!E137-weather_data!D137</f>
        <v>-0.6</v>
      </c>
      <c r="I137" s="15">
        <f>IF(OR(weather_data!H137="light rain",weather_data!H137="moderate rain",weather_data!H137="drizzle",weather_data!H137="thunderstorm"),1,0)</f>
        <v>0</v>
      </c>
      <c r="J137" s="15">
        <f>IF(weather_data!I137&gt;=25,1,0)</f>
        <v>0</v>
      </c>
    </row>
    <row r="138" ht="15.75" customHeight="1">
      <c r="A138" s="13">
        <f>weather_data!B138</f>
        <v>45896.55556</v>
      </c>
      <c r="B138" s="14">
        <f t="shared" si="1"/>
        <v>45896</v>
      </c>
      <c r="C138" s="15" t="str">
        <f t="shared" si="2"/>
        <v>2025-08</v>
      </c>
      <c r="D138" s="15">
        <f t="shared" si="3"/>
        <v>8</v>
      </c>
      <c r="E138" s="15" t="str">
        <f t="shared" si="4"/>
        <v>sierpnia</v>
      </c>
      <c r="F138" s="15" t="str">
        <f t="shared" si="5"/>
        <v>Q3</v>
      </c>
      <c r="G138" s="15" t="str">
        <f t="shared" si="6"/>
        <v>Summer</v>
      </c>
      <c r="H138" s="16">
        <f>weather_data!E138-weather_data!D138</f>
        <v>0.3</v>
      </c>
      <c r="I138" s="15">
        <f>IF(OR(weather_data!H138="light rain",weather_data!H138="moderate rain",weather_data!H138="drizzle",weather_data!H138="thunderstorm"),1,0)</f>
        <v>0</v>
      </c>
      <c r="J138" s="15">
        <f>IF(weather_data!I138&gt;=25,1,0)</f>
        <v>0</v>
      </c>
    </row>
    <row r="139" ht="15.75" customHeight="1">
      <c r="A139" s="13">
        <f>weather_data!B139</f>
        <v>45897.8125</v>
      </c>
      <c r="B139" s="14">
        <f t="shared" si="1"/>
        <v>45897</v>
      </c>
      <c r="C139" s="15" t="str">
        <f t="shared" si="2"/>
        <v>2025-08</v>
      </c>
      <c r="D139" s="15">
        <f t="shared" si="3"/>
        <v>8</v>
      </c>
      <c r="E139" s="15" t="str">
        <f t="shared" si="4"/>
        <v>sierpnia</v>
      </c>
      <c r="F139" s="15" t="str">
        <f t="shared" si="5"/>
        <v>Q3</v>
      </c>
      <c r="G139" s="15" t="str">
        <f t="shared" si="6"/>
        <v>Summer</v>
      </c>
      <c r="H139" s="16">
        <f>weather_data!E139-weather_data!D139</f>
        <v>0.9</v>
      </c>
      <c r="I139" s="15">
        <f>IF(OR(weather_data!H139="light rain",weather_data!H139="moderate rain",weather_data!H139="drizzle",weather_data!H139="thunderstorm"),1,0)</f>
        <v>1</v>
      </c>
      <c r="J139" s="15">
        <f>IF(weather_data!I139&gt;=25,1,0)</f>
        <v>0</v>
      </c>
    </row>
    <row r="140" ht="15.75" customHeight="1">
      <c r="A140" s="13">
        <f>weather_data!B140</f>
        <v>45898.27083</v>
      </c>
      <c r="B140" s="14">
        <f t="shared" si="1"/>
        <v>45898</v>
      </c>
      <c r="C140" s="15" t="str">
        <f t="shared" si="2"/>
        <v>2025-08</v>
      </c>
      <c r="D140" s="15">
        <f t="shared" si="3"/>
        <v>8</v>
      </c>
      <c r="E140" s="15" t="str">
        <f t="shared" si="4"/>
        <v>sierpnia</v>
      </c>
      <c r="F140" s="15" t="str">
        <f t="shared" si="5"/>
        <v>Q3</v>
      </c>
      <c r="G140" s="15" t="str">
        <f t="shared" si="6"/>
        <v>Summer</v>
      </c>
      <c r="H140" s="16">
        <f>weather_data!E140-weather_data!D140</f>
        <v>0.3</v>
      </c>
      <c r="I140" s="15">
        <f>IF(OR(weather_data!H140="light rain",weather_data!H140="moderate rain",weather_data!H140="drizzle",weather_data!H140="thunderstorm"),1,0)</f>
        <v>0</v>
      </c>
      <c r="J140" s="15">
        <f>IF(weather_data!I140&gt;=25,1,0)</f>
        <v>0</v>
      </c>
    </row>
    <row r="141" ht="15.75" customHeight="1">
      <c r="A141" s="13">
        <f>weather_data!B141</f>
        <v>45899.70139</v>
      </c>
      <c r="B141" s="14">
        <f t="shared" si="1"/>
        <v>45899</v>
      </c>
      <c r="C141" s="15" t="str">
        <f t="shared" si="2"/>
        <v>2025-08</v>
      </c>
      <c r="D141" s="15">
        <f t="shared" si="3"/>
        <v>8</v>
      </c>
      <c r="E141" s="15" t="str">
        <f t="shared" si="4"/>
        <v>sierpnia</v>
      </c>
      <c r="F141" s="15" t="str">
        <f t="shared" si="5"/>
        <v>Q3</v>
      </c>
      <c r="G141" s="15" t="str">
        <f t="shared" si="6"/>
        <v>Summer</v>
      </c>
      <c r="H141" s="16">
        <f>weather_data!E141-weather_data!D141</f>
        <v>-0.1</v>
      </c>
      <c r="I141" s="15">
        <f>IF(OR(weather_data!H141="light rain",weather_data!H141="moderate rain",weather_data!H141="drizzle",weather_data!H141="thunderstorm"),1,0)</f>
        <v>0</v>
      </c>
      <c r="J141" s="15">
        <f>IF(weather_data!I141&gt;=25,1,0)</f>
        <v>0</v>
      </c>
    </row>
    <row r="142" ht="15.75" customHeight="1">
      <c r="A142" s="13">
        <f>weather_data!B142</f>
        <v>45900.78472</v>
      </c>
      <c r="B142" s="14">
        <f t="shared" si="1"/>
        <v>45900</v>
      </c>
      <c r="C142" s="15" t="str">
        <f t="shared" si="2"/>
        <v>2025-08</v>
      </c>
      <c r="D142" s="15">
        <f t="shared" si="3"/>
        <v>8</v>
      </c>
      <c r="E142" s="15" t="str">
        <f t="shared" si="4"/>
        <v>sierpnia</v>
      </c>
      <c r="F142" s="15" t="str">
        <f t="shared" si="5"/>
        <v>Q3</v>
      </c>
      <c r="G142" s="15" t="str">
        <f t="shared" si="6"/>
        <v>Summer</v>
      </c>
      <c r="H142" s="16">
        <f>weather_data!E142-weather_data!D142</f>
        <v>2.6</v>
      </c>
      <c r="I142" s="15">
        <f>IF(OR(weather_data!H142="light rain",weather_data!H142="moderate rain",weather_data!H142="drizzle",weather_data!H142="thunderstorm"),1,0)</f>
        <v>1</v>
      </c>
      <c r="J142" s="15">
        <f>IF(weather_data!I142&gt;=25,1,0)</f>
        <v>0</v>
      </c>
    </row>
    <row r="143" ht="15.75" customHeight="1">
      <c r="A143" s="13">
        <f>weather_data!B143</f>
        <v>45901.47917</v>
      </c>
      <c r="B143" s="14">
        <f t="shared" si="1"/>
        <v>45901</v>
      </c>
      <c r="C143" s="15" t="str">
        <f t="shared" si="2"/>
        <v>2025-09</v>
      </c>
      <c r="D143" s="15">
        <f t="shared" si="3"/>
        <v>9</v>
      </c>
      <c r="E143" s="15" t="str">
        <f t="shared" si="4"/>
        <v>września</v>
      </c>
      <c r="F143" s="15" t="str">
        <f t="shared" si="5"/>
        <v>Q3</v>
      </c>
      <c r="G143" s="15" t="str">
        <f t="shared" si="6"/>
        <v>Autumn</v>
      </c>
      <c r="H143" s="16">
        <f>weather_data!E143-weather_data!D143</f>
        <v>0.2</v>
      </c>
      <c r="I143" s="15">
        <f>IF(OR(weather_data!H143="light rain",weather_data!H143="moderate rain",weather_data!H143="drizzle",weather_data!H143="thunderstorm"),1,0)</f>
        <v>0</v>
      </c>
      <c r="J143" s="15">
        <f>IF(weather_data!I143&gt;=25,1,0)</f>
        <v>0</v>
      </c>
    </row>
    <row r="144" ht="15.75" customHeight="1">
      <c r="A144" s="13">
        <f>weather_data!B144</f>
        <v>45902.44444</v>
      </c>
      <c r="B144" s="14">
        <f t="shared" si="1"/>
        <v>45902</v>
      </c>
      <c r="C144" s="15" t="str">
        <f t="shared" si="2"/>
        <v>2025-09</v>
      </c>
      <c r="D144" s="15">
        <f t="shared" si="3"/>
        <v>9</v>
      </c>
      <c r="E144" s="15" t="str">
        <f t="shared" si="4"/>
        <v>września</v>
      </c>
      <c r="F144" s="15" t="str">
        <f t="shared" si="5"/>
        <v>Q3</v>
      </c>
      <c r="G144" s="15" t="str">
        <f t="shared" si="6"/>
        <v>Autumn</v>
      </c>
      <c r="H144" s="16">
        <f>weather_data!E144-weather_data!D144</f>
        <v>0.5</v>
      </c>
      <c r="I144" s="15">
        <f>IF(OR(weather_data!H144="light rain",weather_data!H144="moderate rain",weather_data!H144="drizzle",weather_data!H144="thunderstorm"),1,0)</f>
        <v>0</v>
      </c>
      <c r="J144" s="15">
        <f>IF(weather_data!I144&gt;=25,1,0)</f>
        <v>0</v>
      </c>
    </row>
    <row r="145" ht="15.75" customHeight="1">
      <c r="A145" s="13">
        <f>weather_data!B145</f>
        <v>45903.27083</v>
      </c>
      <c r="B145" s="14">
        <f t="shared" si="1"/>
        <v>45903</v>
      </c>
      <c r="C145" s="15" t="str">
        <f t="shared" si="2"/>
        <v>2025-09</v>
      </c>
      <c r="D145" s="15">
        <f t="shared" si="3"/>
        <v>9</v>
      </c>
      <c r="E145" s="15" t="str">
        <f t="shared" si="4"/>
        <v>września</v>
      </c>
      <c r="F145" s="15" t="str">
        <f t="shared" si="5"/>
        <v>Q3</v>
      </c>
      <c r="G145" s="15" t="str">
        <f t="shared" si="6"/>
        <v>Autumn</v>
      </c>
      <c r="H145" s="16">
        <f>weather_data!E145-weather_data!D145</f>
        <v>-0.4</v>
      </c>
      <c r="I145" s="15">
        <f>IF(OR(weather_data!H145="light rain",weather_data!H145="moderate rain",weather_data!H145="drizzle",weather_data!H145="thunderstorm"),1,0)</f>
        <v>1</v>
      </c>
      <c r="J145" s="15">
        <f>IF(weather_data!I145&gt;=25,1,0)</f>
        <v>0</v>
      </c>
    </row>
    <row r="146" ht="15.75" customHeight="1">
      <c r="A146" s="13">
        <f>weather_data!B146</f>
        <v>45904.25</v>
      </c>
      <c r="B146" s="14">
        <f t="shared" si="1"/>
        <v>45904</v>
      </c>
      <c r="C146" s="15" t="str">
        <f t="shared" si="2"/>
        <v>2025-09</v>
      </c>
      <c r="D146" s="15">
        <f t="shared" si="3"/>
        <v>9</v>
      </c>
      <c r="E146" s="15" t="str">
        <f t="shared" si="4"/>
        <v>września</v>
      </c>
      <c r="F146" s="15" t="str">
        <f t="shared" si="5"/>
        <v>Q3</v>
      </c>
      <c r="G146" s="15" t="str">
        <f t="shared" si="6"/>
        <v>Autumn</v>
      </c>
      <c r="H146" s="16">
        <f>weather_data!E146-weather_data!D146</f>
        <v>0.3</v>
      </c>
      <c r="I146" s="15">
        <f>IF(OR(weather_data!H146="light rain",weather_data!H146="moderate rain",weather_data!H146="drizzle",weather_data!H146="thunderstorm"),1,0)</f>
        <v>0</v>
      </c>
      <c r="J146" s="15">
        <f>IF(weather_data!I146&gt;=25,1,0)</f>
        <v>0</v>
      </c>
    </row>
    <row r="147" ht="15.75" customHeight="1">
      <c r="A147" s="13">
        <f>weather_data!B147</f>
        <v>45905.79861</v>
      </c>
      <c r="B147" s="14">
        <f t="shared" si="1"/>
        <v>45905</v>
      </c>
      <c r="C147" s="15" t="str">
        <f t="shared" si="2"/>
        <v>2025-09</v>
      </c>
      <c r="D147" s="15">
        <f t="shared" si="3"/>
        <v>9</v>
      </c>
      <c r="E147" s="15" t="str">
        <f t="shared" si="4"/>
        <v>września</v>
      </c>
      <c r="F147" s="15" t="str">
        <f t="shared" si="5"/>
        <v>Q3</v>
      </c>
      <c r="G147" s="15" t="str">
        <f t="shared" si="6"/>
        <v>Autumn</v>
      </c>
      <c r="H147" s="16">
        <f>weather_data!E147-weather_data!D147</f>
        <v>1.6</v>
      </c>
      <c r="I147" s="15">
        <f>IF(OR(weather_data!H147="light rain",weather_data!H147="moderate rain",weather_data!H147="drizzle",weather_data!H147="thunderstorm"),1,0)</f>
        <v>0</v>
      </c>
      <c r="J147" s="15">
        <f>IF(weather_data!I147&gt;=25,1,0)</f>
        <v>0</v>
      </c>
    </row>
    <row r="148" ht="15.75" customHeight="1">
      <c r="A148" s="13">
        <f>weather_data!B148</f>
        <v>45906.84028</v>
      </c>
      <c r="B148" s="14">
        <f t="shared" si="1"/>
        <v>45906</v>
      </c>
      <c r="C148" s="15" t="str">
        <f t="shared" si="2"/>
        <v>2025-09</v>
      </c>
      <c r="D148" s="15">
        <f t="shared" si="3"/>
        <v>9</v>
      </c>
      <c r="E148" s="15" t="str">
        <f t="shared" si="4"/>
        <v>września</v>
      </c>
      <c r="F148" s="15" t="str">
        <f t="shared" si="5"/>
        <v>Q3</v>
      </c>
      <c r="G148" s="15" t="str">
        <f t="shared" si="6"/>
        <v>Autumn</v>
      </c>
      <c r="H148" s="16">
        <f>weather_data!E148-weather_data!D148</f>
        <v>0.4</v>
      </c>
      <c r="I148" s="15">
        <f>IF(OR(weather_data!H148="light rain",weather_data!H148="moderate rain",weather_data!H148="drizzle",weather_data!H148="thunderstorm"),1,0)</f>
        <v>0</v>
      </c>
      <c r="J148" s="15">
        <f>IF(weather_data!I148&gt;=25,1,0)</f>
        <v>0</v>
      </c>
    </row>
    <row r="149" ht="15.75" customHeight="1">
      <c r="A149" s="13">
        <f>weather_data!B149</f>
        <v>45907.30556</v>
      </c>
      <c r="B149" s="14">
        <f t="shared" si="1"/>
        <v>45907</v>
      </c>
      <c r="C149" s="15" t="str">
        <f t="shared" si="2"/>
        <v>2025-09</v>
      </c>
      <c r="D149" s="15">
        <f t="shared" si="3"/>
        <v>9</v>
      </c>
      <c r="E149" s="15" t="str">
        <f t="shared" si="4"/>
        <v>września</v>
      </c>
      <c r="F149" s="15" t="str">
        <f t="shared" si="5"/>
        <v>Q3</v>
      </c>
      <c r="G149" s="15" t="str">
        <f t="shared" si="6"/>
        <v>Autumn</v>
      </c>
      <c r="H149" s="16">
        <f>weather_data!E149-weather_data!D149</f>
        <v>-0.3</v>
      </c>
      <c r="I149" s="15">
        <f>IF(OR(weather_data!H149="light rain",weather_data!H149="moderate rain",weather_data!H149="drizzle",weather_data!H149="thunderstorm"),1,0)</f>
        <v>0</v>
      </c>
      <c r="J149" s="15">
        <f>IF(weather_data!I149&gt;=25,1,0)</f>
        <v>0</v>
      </c>
    </row>
    <row r="150" ht="15.75" customHeight="1">
      <c r="A150" s="13">
        <f>weather_data!B150</f>
        <v>45908.76389</v>
      </c>
      <c r="B150" s="14">
        <f t="shared" si="1"/>
        <v>45908</v>
      </c>
      <c r="C150" s="15" t="str">
        <f t="shared" si="2"/>
        <v>2025-09</v>
      </c>
      <c r="D150" s="15">
        <f t="shared" si="3"/>
        <v>9</v>
      </c>
      <c r="E150" s="15" t="str">
        <f t="shared" si="4"/>
        <v>września</v>
      </c>
      <c r="F150" s="15" t="str">
        <f t="shared" si="5"/>
        <v>Q3</v>
      </c>
      <c r="G150" s="15" t="str">
        <f t="shared" si="6"/>
        <v>Autumn</v>
      </c>
      <c r="H150" s="16">
        <f>weather_data!E150-weather_data!D150</f>
        <v>0.4</v>
      </c>
      <c r="I150" s="15">
        <f>IF(OR(weather_data!H150="light rain",weather_data!H150="moderate rain",weather_data!H150="drizzle",weather_data!H150="thunderstorm"),1,0)</f>
        <v>1</v>
      </c>
      <c r="J150" s="15">
        <f>IF(weather_data!I150&gt;=25,1,0)</f>
        <v>0</v>
      </c>
    </row>
    <row r="151" ht="15.75" customHeight="1">
      <c r="A151" s="13">
        <f>weather_data!B151</f>
        <v>45909.52083</v>
      </c>
      <c r="B151" s="14">
        <f t="shared" si="1"/>
        <v>45909</v>
      </c>
      <c r="C151" s="15" t="str">
        <f t="shared" si="2"/>
        <v>2025-09</v>
      </c>
      <c r="D151" s="15">
        <f t="shared" si="3"/>
        <v>9</v>
      </c>
      <c r="E151" s="15" t="str">
        <f t="shared" si="4"/>
        <v>września</v>
      </c>
      <c r="F151" s="15" t="str">
        <f t="shared" si="5"/>
        <v>Q3</v>
      </c>
      <c r="G151" s="15" t="str">
        <f t="shared" si="6"/>
        <v>Autumn</v>
      </c>
      <c r="H151" s="16">
        <f>weather_data!E151-weather_data!D151</f>
        <v>0.1</v>
      </c>
      <c r="I151" s="15">
        <f>IF(OR(weather_data!H151="light rain",weather_data!H151="moderate rain",weather_data!H151="drizzle",weather_data!H151="thunderstorm"),1,0)</f>
        <v>1</v>
      </c>
      <c r="J151" s="15">
        <f>IF(weather_data!I151&gt;=25,1,0)</f>
        <v>0</v>
      </c>
    </row>
    <row r="152" ht="15.75" customHeight="1">
      <c r="A152" s="13">
        <f>weather_data!B152</f>
        <v>45910.68056</v>
      </c>
      <c r="B152" s="14">
        <f t="shared" si="1"/>
        <v>45910</v>
      </c>
      <c r="C152" s="15" t="str">
        <f t="shared" si="2"/>
        <v>2025-09</v>
      </c>
      <c r="D152" s="15">
        <f t="shared" si="3"/>
        <v>9</v>
      </c>
      <c r="E152" s="15" t="str">
        <f t="shared" si="4"/>
        <v>września</v>
      </c>
      <c r="F152" s="15" t="str">
        <f t="shared" si="5"/>
        <v>Q3</v>
      </c>
      <c r="G152" s="15" t="str">
        <f t="shared" si="6"/>
        <v>Autumn</v>
      </c>
      <c r="H152" s="16">
        <f>weather_data!E152-weather_data!D152</f>
        <v>1.1</v>
      </c>
      <c r="I152" s="15">
        <f>IF(OR(weather_data!H152="light rain",weather_data!H152="moderate rain",weather_data!H152="drizzle",weather_data!H152="thunderstorm"),1,0)</f>
        <v>0</v>
      </c>
      <c r="J152" s="15">
        <f>IF(weather_data!I152&gt;=25,1,0)</f>
        <v>0</v>
      </c>
    </row>
    <row r="153" ht="15.75" customHeight="1">
      <c r="A153" s="13">
        <f>weather_data!B153</f>
        <v>45911.76389</v>
      </c>
      <c r="B153" s="14">
        <f t="shared" si="1"/>
        <v>45911</v>
      </c>
      <c r="C153" s="15" t="str">
        <f t="shared" si="2"/>
        <v>2025-09</v>
      </c>
      <c r="D153" s="15">
        <f t="shared" si="3"/>
        <v>9</v>
      </c>
      <c r="E153" s="15" t="str">
        <f t="shared" si="4"/>
        <v>września</v>
      </c>
      <c r="F153" s="15" t="str">
        <f t="shared" si="5"/>
        <v>Q3</v>
      </c>
      <c r="G153" s="15" t="str">
        <f t="shared" si="6"/>
        <v>Autumn</v>
      </c>
      <c r="H153" s="16">
        <f>weather_data!E153-weather_data!D153</f>
        <v>-0.2</v>
      </c>
      <c r="I153" s="15">
        <f>IF(OR(weather_data!H153="light rain",weather_data!H153="moderate rain",weather_data!H153="drizzle",weather_data!H153="thunderstorm"),1,0)</f>
        <v>0</v>
      </c>
      <c r="J153" s="15">
        <f>IF(weather_data!I153&gt;=25,1,0)</f>
        <v>0</v>
      </c>
    </row>
    <row r="154" ht="15.75" customHeight="1">
      <c r="A154" s="13">
        <f>weather_data!B154</f>
        <v>45912.80556</v>
      </c>
      <c r="B154" s="14">
        <f t="shared" si="1"/>
        <v>45912</v>
      </c>
      <c r="C154" s="15" t="str">
        <f t="shared" si="2"/>
        <v>2025-09</v>
      </c>
      <c r="D154" s="15">
        <f t="shared" si="3"/>
        <v>9</v>
      </c>
      <c r="E154" s="15" t="str">
        <f t="shared" si="4"/>
        <v>września</v>
      </c>
      <c r="F154" s="15" t="str">
        <f t="shared" si="5"/>
        <v>Q3</v>
      </c>
      <c r="G154" s="15" t="str">
        <f t="shared" si="6"/>
        <v>Autumn</v>
      </c>
      <c r="H154" s="16">
        <f>weather_data!E154-weather_data!D154</f>
        <v>1.7</v>
      </c>
      <c r="I154" s="15">
        <f>IF(OR(weather_data!H154="light rain",weather_data!H154="moderate rain",weather_data!H154="drizzle",weather_data!H154="thunderstorm"),1,0)</f>
        <v>0</v>
      </c>
      <c r="J154" s="15">
        <f>IF(weather_data!I154&gt;=25,1,0)</f>
        <v>0</v>
      </c>
    </row>
    <row r="155" ht="15.75" customHeight="1">
      <c r="A155" s="13">
        <f>weather_data!B155</f>
        <v>45913.35417</v>
      </c>
      <c r="B155" s="14">
        <f t="shared" si="1"/>
        <v>45913</v>
      </c>
      <c r="C155" s="15" t="str">
        <f t="shared" si="2"/>
        <v>2025-09</v>
      </c>
      <c r="D155" s="15">
        <f t="shared" si="3"/>
        <v>9</v>
      </c>
      <c r="E155" s="15" t="str">
        <f t="shared" si="4"/>
        <v>września</v>
      </c>
      <c r="F155" s="15" t="str">
        <f t="shared" si="5"/>
        <v>Q3</v>
      </c>
      <c r="G155" s="15" t="str">
        <f t="shared" si="6"/>
        <v>Autumn</v>
      </c>
      <c r="H155" s="16">
        <f>weather_data!E155-weather_data!D155</f>
        <v>-0.3</v>
      </c>
      <c r="I155" s="15">
        <f>IF(OR(weather_data!H155="light rain",weather_data!H155="moderate rain",weather_data!H155="drizzle",weather_data!H155="thunderstorm"),1,0)</f>
        <v>0</v>
      </c>
      <c r="J155" s="15">
        <f>IF(weather_data!I155&gt;=25,1,0)</f>
        <v>0</v>
      </c>
    </row>
    <row r="156" ht="15.75" customHeight="1">
      <c r="A156" s="13">
        <f>weather_data!B156</f>
        <v>45914.28472</v>
      </c>
      <c r="B156" s="14">
        <f t="shared" si="1"/>
        <v>45914</v>
      </c>
      <c r="C156" s="15" t="str">
        <f t="shared" si="2"/>
        <v>2025-09</v>
      </c>
      <c r="D156" s="15">
        <f t="shared" si="3"/>
        <v>9</v>
      </c>
      <c r="E156" s="15" t="str">
        <f t="shared" si="4"/>
        <v>września</v>
      </c>
      <c r="F156" s="15" t="str">
        <f t="shared" si="5"/>
        <v>Q3</v>
      </c>
      <c r="G156" s="15" t="str">
        <f t="shared" si="6"/>
        <v>Autumn</v>
      </c>
      <c r="H156" s="16">
        <f>weather_data!E156-weather_data!D156</f>
        <v>0.8</v>
      </c>
      <c r="I156" s="15">
        <f>IF(OR(weather_data!H156="light rain",weather_data!H156="moderate rain",weather_data!H156="drizzle",weather_data!H156="thunderstorm"),1,0)</f>
        <v>1</v>
      </c>
      <c r="J156" s="15">
        <f>IF(weather_data!I156&gt;=25,1,0)</f>
        <v>1</v>
      </c>
    </row>
    <row r="157" ht="15.75" customHeight="1">
      <c r="A157" s="13">
        <f>weather_data!B157</f>
        <v>45915.30556</v>
      </c>
      <c r="B157" s="14">
        <f t="shared" si="1"/>
        <v>45915</v>
      </c>
      <c r="C157" s="15" t="str">
        <f t="shared" si="2"/>
        <v>2025-09</v>
      </c>
      <c r="D157" s="15">
        <f t="shared" si="3"/>
        <v>9</v>
      </c>
      <c r="E157" s="15" t="str">
        <f t="shared" si="4"/>
        <v>września</v>
      </c>
      <c r="F157" s="15" t="str">
        <f t="shared" si="5"/>
        <v>Q3</v>
      </c>
      <c r="G157" s="15" t="str">
        <f t="shared" si="6"/>
        <v>Autumn</v>
      </c>
      <c r="H157" s="16">
        <f>weather_data!E157-weather_data!D157</f>
        <v>-0.4</v>
      </c>
      <c r="I157" s="15">
        <f>IF(OR(weather_data!H157="light rain",weather_data!H157="moderate rain",weather_data!H157="drizzle",weather_data!H157="thunderstorm"),1,0)</f>
        <v>0</v>
      </c>
      <c r="J157" s="15">
        <f>IF(weather_data!I157&gt;=25,1,0)</f>
        <v>0</v>
      </c>
    </row>
    <row r="158" ht="15.75" customHeight="1">
      <c r="A158" s="13">
        <f>weather_data!B158</f>
        <v>45917.57639</v>
      </c>
      <c r="B158" s="14">
        <f t="shared" si="1"/>
        <v>45917</v>
      </c>
      <c r="C158" s="15" t="str">
        <f t="shared" si="2"/>
        <v>2025-09</v>
      </c>
      <c r="D158" s="15">
        <f t="shared" si="3"/>
        <v>9</v>
      </c>
      <c r="E158" s="15" t="str">
        <f t="shared" si="4"/>
        <v>września</v>
      </c>
      <c r="F158" s="15" t="str">
        <f t="shared" si="5"/>
        <v>Q3</v>
      </c>
      <c r="G158" s="15" t="str">
        <f t="shared" si="6"/>
        <v>Autumn</v>
      </c>
      <c r="H158" s="16">
        <f>weather_data!E158-weather_data!D158</f>
        <v>1</v>
      </c>
      <c r="I158" s="15">
        <f>IF(OR(weather_data!H158="light rain",weather_data!H158="moderate rain",weather_data!H158="drizzle",weather_data!H158="thunderstorm"),1,0)</f>
        <v>0</v>
      </c>
      <c r="J158" s="15">
        <f>IF(weather_data!I158&gt;=25,1,0)</f>
        <v>0</v>
      </c>
    </row>
    <row r="159" ht="15.75" customHeight="1">
      <c r="A159" s="13">
        <f>weather_data!B159</f>
        <v>45918.36806</v>
      </c>
      <c r="B159" s="14">
        <f t="shared" si="1"/>
        <v>45918</v>
      </c>
      <c r="C159" s="15" t="str">
        <f t="shared" si="2"/>
        <v>2025-09</v>
      </c>
      <c r="D159" s="15">
        <f t="shared" si="3"/>
        <v>9</v>
      </c>
      <c r="E159" s="15" t="str">
        <f t="shared" si="4"/>
        <v>września</v>
      </c>
      <c r="F159" s="15" t="str">
        <f t="shared" si="5"/>
        <v>Q3</v>
      </c>
      <c r="G159" s="15" t="str">
        <f t="shared" si="6"/>
        <v>Autumn</v>
      </c>
      <c r="H159" s="16">
        <f>weather_data!E159-weather_data!D159</f>
        <v>-0.8</v>
      </c>
      <c r="I159" s="15">
        <f>IF(OR(weather_data!H159="light rain",weather_data!H159="moderate rain",weather_data!H159="drizzle",weather_data!H159="thunderstorm"),1,0)</f>
        <v>0</v>
      </c>
      <c r="J159" s="15">
        <f>IF(weather_data!I159&gt;=25,1,0)</f>
        <v>0</v>
      </c>
    </row>
    <row r="160" ht="15.75" customHeight="1">
      <c r="A160" s="13">
        <f>weather_data!B160</f>
        <v>45919.29167</v>
      </c>
      <c r="B160" s="14">
        <f t="shared" si="1"/>
        <v>45919</v>
      </c>
      <c r="C160" s="15" t="str">
        <f t="shared" si="2"/>
        <v>2025-09</v>
      </c>
      <c r="D160" s="15">
        <f t="shared" si="3"/>
        <v>9</v>
      </c>
      <c r="E160" s="15" t="str">
        <f t="shared" si="4"/>
        <v>września</v>
      </c>
      <c r="F160" s="15" t="str">
        <f t="shared" si="5"/>
        <v>Q3</v>
      </c>
      <c r="G160" s="15" t="str">
        <f t="shared" si="6"/>
        <v>Autumn</v>
      </c>
      <c r="H160" s="16">
        <f>weather_data!E160-weather_data!D160</f>
        <v>0.6</v>
      </c>
      <c r="I160" s="15">
        <f>IF(OR(weather_data!H160="light rain",weather_data!H160="moderate rain",weather_data!H160="drizzle",weather_data!H160="thunderstorm"),1,0)</f>
        <v>0</v>
      </c>
      <c r="J160" s="15">
        <f>IF(weather_data!I160&gt;=25,1,0)</f>
        <v>0</v>
      </c>
    </row>
    <row r="161" ht="15.75" customHeight="1">
      <c r="A161" s="13">
        <f>weather_data!B161</f>
        <v>45920.54861</v>
      </c>
      <c r="B161" s="14">
        <f t="shared" si="1"/>
        <v>45920</v>
      </c>
      <c r="C161" s="15" t="str">
        <f t="shared" si="2"/>
        <v>2025-09</v>
      </c>
      <c r="D161" s="15">
        <f t="shared" si="3"/>
        <v>9</v>
      </c>
      <c r="E161" s="15" t="str">
        <f t="shared" si="4"/>
        <v>września</v>
      </c>
      <c r="F161" s="15" t="str">
        <f t="shared" si="5"/>
        <v>Q3</v>
      </c>
      <c r="G161" s="15" t="str">
        <f t="shared" si="6"/>
        <v>Autumn</v>
      </c>
      <c r="H161" s="16">
        <f>weather_data!E161-weather_data!D161</f>
        <v>0.3</v>
      </c>
      <c r="I161" s="15">
        <f>IF(OR(weather_data!H161="light rain",weather_data!H161="moderate rain",weather_data!H161="drizzle",weather_data!H161="thunderstorm"),1,0)</f>
        <v>0</v>
      </c>
      <c r="J161" s="15">
        <f>IF(weather_data!I161&gt;=25,1,0)</f>
        <v>0</v>
      </c>
    </row>
    <row r="162" ht="15.75" customHeight="1">
      <c r="A162" s="13">
        <f>weather_data!B162</f>
        <v>45921.27778</v>
      </c>
      <c r="B162" s="14">
        <f t="shared" si="1"/>
        <v>45921</v>
      </c>
      <c r="C162" s="15" t="str">
        <f t="shared" si="2"/>
        <v>2025-09</v>
      </c>
      <c r="D162" s="15">
        <f t="shared" si="3"/>
        <v>9</v>
      </c>
      <c r="E162" s="15" t="str">
        <f t="shared" si="4"/>
        <v>września</v>
      </c>
      <c r="F162" s="15" t="str">
        <f t="shared" si="5"/>
        <v>Q3</v>
      </c>
      <c r="G162" s="15" t="str">
        <f t="shared" si="6"/>
        <v>Autumn</v>
      </c>
      <c r="H162" s="16">
        <f>weather_data!E162-weather_data!D162</f>
        <v>-0.4</v>
      </c>
      <c r="I162" s="15">
        <f>IF(OR(weather_data!H162="light rain",weather_data!H162="moderate rain",weather_data!H162="drizzle",weather_data!H162="thunderstorm"),1,0)</f>
        <v>0</v>
      </c>
      <c r="J162" s="15">
        <f>IF(weather_data!I162&gt;=25,1,0)</f>
        <v>0</v>
      </c>
    </row>
    <row r="163" ht="15.75" customHeight="1">
      <c r="A163" s="13">
        <f>weather_data!B163</f>
        <v>45922.42361</v>
      </c>
      <c r="B163" s="14">
        <f t="shared" si="1"/>
        <v>45922</v>
      </c>
      <c r="C163" s="15" t="str">
        <f t="shared" si="2"/>
        <v>2025-09</v>
      </c>
      <c r="D163" s="15">
        <f t="shared" si="3"/>
        <v>9</v>
      </c>
      <c r="E163" s="15" t="str">
        <f t="shared" si="4"/>
        <v>września</v>
      </c>
      <c r="F163" s="15" t="str">
        <f t="shared" si="5"/>
        <v>Q3</v>
      </c>
      <c r="G163" s="15" t="str">
        <f t="shared" si="6"/>
        <v>Autumn</v>
      </c>
      <c r="H163" s="16">
        <f>weather_data!E163-weather_data!D163</f>
        <v>-1.1</v>
      </c>
      <c r="I163" s="15">
        <f>IF(OR(weather_data!H163="light rain",weather_data!H163="moderate rain",weather_data!H163="drizzle",weather_data!H163="thunderstorm"),1,0)</f>
        <v>0</v>
      </c>
      <c r="J163" s="15">
        <f>IF(weather_data!I163&gt;=25,1,0)</f>
        <v>0</v>
      </c>
    </row>
    <row r="164" ht="15.75" customHeight="1">
      <c r="A164" s="13">
        <f>weather_data!B164</f>
        <v>45923.4375</v>
      </c>
      <c r="B164" s="14">
        <f t="shared" si="1"/>
        <v>45923</v>
      </c>
      <c r="C164" s="15" t="str">
        <f t="shared" si="2"/>
        <v>2025-09</v>
      </c>
      <c r="D164" s="15">
        <f t="shared" si="3"/>
        <v>9</v>
      </c>
      <c r="E164" s="15" t="str">
        <f t="shared" si="4"/>
        <v>września</v>
      </c>
      <c r="F164" s="15" t="str">
        <f t="shared" si="5"/>
        <v>Q3</v>
      </c>
      <c r="G164" s="15" t="str">
        <f t="shared" si="6"/>
        <v>Autumn</v>
      </c>
      <c r="H164" s="16">
        <f>weather_data!E164-weather_data!D164</f>
        <v>0.2</v>
      </c>
      <c r="I164" s="15">
        <f>IF(OR(weather_data!H164="light rain",weather_data!H164="moderate rain",weather_data!H164="drizzle",weather_data!H164="thunderstorm"),1,0)</f>
        <v>0</v>
      </c>
      <c r="J164" s="15">
        <f>IF(weather_data!I164&gt;=25,1,0)</f>
        <v>0</v>
      </c>
    </row>
    <row r="165" ht="15.75" customHeight="1">
      <c r="A165" s="13">
        <f>weather_data!B165</f>
        <v>45924.40278</v>
      </c>
      <c r="B165" s="14">
        <f t="shared" si="1"/>
        <v>45924</v>
      </c>
      <c r="C165" s="15" t="str">
        <f t="shared" si="2"/>
        <v>2025-09</v>
      </c>
      <c r="D165" s="15">
        <f t="shared" si="3"/>
        <v>9</v>
      </c>
      <c r="E165" s="15" t="str">
        <f t="shared" si="4"/>
        <v>września</v>
      </c>
      <c r="F165" s="15" t="str">
        <f t="shared" si="5"/>
        <v>Q3</v>
      </c>
      <c r="G165" s="15" t="str">
        <f t="shared" si="6"/>
        <v>Autumn</v>
      </c>
      <c r="H165" s="16">
        <f>weather_data!E165-weather_data!D165</f>
        <v>-0.4</v>
      </c>
      <c r="I165" s="15">
        <f>IF(OR(weather_data!H165="light rain",weather_data!H165="moderate rain",weather_data!H165="drizzle",weather_data!H165="thunderstorm"),1,0)</f>
        <v>0</v>
      </c>
      <c r="J165" s="15">
        <f>IF(weather_data!I165&gt;=25,1,0)</f>
        <v>0</v>
      </c>
    </row>
    <row r="166" ht="15.75" customHeight="1">
      <c r="A166" s="13">
        <f>weather_data!B166</f>
        <v>45925.52083</v>
      </c>
      <c r="B166" s="14">
        <f t="shared" si="1"/>
        <v>45925</v>
      </c>
      <c r="C166" s="15" t="str">
        <f t="shared" si="2"/>
        <v>2025-09</v>
      </c>
      <c r="D166" s="15">
        <f t="shared" si="3"/>
        <v>9</v>
      </c>
      <c r="E166" s="15" t="str">
        <f t="shared" si="4"/>
        <v>września</v>
      </c>
      <c r="F166" s="15" t="str">
        <f t="shared" si="5"/>
        <v>Q3</v>
      </c>
      <c r="G166" s="15" t="str">
        <f t="shared" si="6"/>
        <v>Autumn</v>
      </c>
      <c r="H166" s="16">
        <f>weather_data!E166-weather_data!D166</f>
        <v>0</v>
      </c>
      <c r="I166" s="15">
        <f>IF(OR(weather_data!H166="light rain",weather_data!H166="moderate rain",weather_data!H166="drizzle",weather_data!H166="thunderstorm"),1,0)</f>
        <v>0</v>
      </c>
      <c r="J166" s="15">
        <f>IF(weather_data!I166&gt;=25,1,0)</f>
        <v>0</v>
      </c>
    </row>
    <row r="167" ht="15.75" customHeight="1">
      <c r="A167" s="13">
        <f>weather_data!B167</f>
        <v>45926.59722</v>
      </c>
      <c r="B167" s="14">
        <f t="shared" si="1"/>
        <v>45926</v>
      </c>
      <c r="C167" s="15" t="str">
        <f t="shared" si="2"/>
        <v>2025-09</v>
      </c>
      <c r="D167" s="15">
        <f t="shared" si="3"/>
        <v>9</v>
      </c>
      <c r="E167" s="15" t="str">
        <f t="shared" si="4"/>
        <v>września</v>
      </c>
      <c r="F167" s="15" t="str">
        <f t="shared" si="5"/>
        <v>Q3</v>
      </c>
      <c r="G167" s="15" t="str">
        <f t="shared" si="6"/>
        <v>Autumn</v>
      </c>
      <c r="H167" s="16">
        <f>weather_data!E167-weather_data!D167</f>
        <v>-0.8</v>
      </c>
      <c r="I167" s="15">
        <f>IF(OR(weather_data!H167="light rain",weather_data!H167="moderate rain",weather_data!H167="drizzle",weather_data!H167="thunderstorm"),1,0)</f>
        <v>0</v>
      </c>
      <c r="J167" s="15">
        <f>IF(weather_data!I167&gt;=25,1,0)</f>
        <v>0</v>
      </c>
    </row>
    <row r="168" ht="15.75" customHeight="1">
      <c r="A168" s="13">
        <f>weather_data!B168</f>
        <v>45927.48611</v>
      </c>
      <c r="B168" s="14">
        <f t="shared" si="1"/>
        <v>45927</v>
      </c>
      <c r="C168" s="15" t="str">
        <f t="shared" si="2"/>
        <v>2025-09</v>
      </c>
      <c r="D168" s="15">
        <f t="shared" si="3"/>
        <v>9</v>
      </c>
      <c r="E168" s="15" t="str">
        <f t="shared" si="4"/>
        <v>września</v>
      </c>
      <c r="F168" s="15" t="str">
        <f t="shared" si="5"/>
        <v>Q3</v>
      </c>
      <c r="G168" s="15" t="str">
        <f t="shared" si="6"/>
        <v>Autumn</v>
      </c>
      <c r="H168" s="16">
        <f>weather_data!E168-weather_data!D168</f>
        <v>0.6</v>
      </c>
      <c r="I168" s="15">
        <f>IF(OR(weather_data!H168="light rain",weather_data!H168="moderate rain",weather_data!H168="drizzle",weather_data!H168="thunderstorm"),1,0)</f>
        <v>0</v>
      </c>
      <c r="J168" s="15">
        <f>IF(weather_data!I168&gt;=25,1,0)</f>
        <v>0</v>
      </c>
    </row>
    <row r="169" ht="15.75" customHeight="1">
      <c r="A169" s="13">
        <f>weather_data!B169</f>
        <v>45928.38194</v>
      </c>
      <c r="B169" s="14">
        <f t="shared" si="1"/>
        <v>45928</v>
      </c>
      <c r="C169" s="15" t="str">
        <f t="shared" si="2"/>
        <v>2025-09</v>
      </c>
      <c r="D169" s="15">
        <f t="shared" si="3"/>
        <v>9</v>
      </c>
      <c r="E169" s="15" t="str">
        <f t="shared" si="4"/>
        <v>września</v>
      </c>
      <c r="F169" s="15" t="str">
        <f t="shared" si="5"/>
        <v>Q3</v>
      </c>
      <c r="G169" s="15" t="str">
        <f t="shared" si="6"/>
        <v>Autumn</v>
      </c>
      <c r="H169" s="16">
        <f>weather_data!E169-weather_data!D169</f>
        <v>0.5</v>
      </c>
      <c r="I169" s="15">
        <f>IF(OR(weather_data!H169="light rain",weather_data!H169="moderate rain",weather_data!H169="drizzle",weather_data!H169="thunderstorm"),1,0)</f>
        <v>0</v>
      </c>
      <c r="J169" s="15">
        <f>IF(weather_data!I169&gt;=25,1,0)</f>
        <v>0</v>
      </c>
    </row>
    <row r="170" ht="15.75" customHeight="1">
      <c r="A170" s="13">
        <f>weather_data!B170</f>
        <v>45929.625</v>
      </c>
      <c r="B170" s="14">
        <f t="shared" si="1"/>
        <v>45929</v>
      </c>
      <c r="C170" s="15" t="str">
        <f t="shared" si="2"/>
        <v>2025-09</v>
      </c>
      <c r="D170" s="15">
        <f t="shared" si="3"/>
        <v>9</v>
      </c>
      <c r="E170" s="15" t="str">
        <f t="shared" si="4"/>
        <v>września</v>
      </c>
      <c r="F170" s="15" t="str">
        <f t="shared" si="5"/>
        <v>Q3</v>
      </c>
      <c r="G170" s="15" t="str">
        <f t="shared" si="6"/>
        <v>Autumn</v>
      </c>
      <c r="H170" s="16">
        <f>weather_data!E170-weather_data!D170</f>
        <v>1.1</v>
      </c>
      <c r="I170" s="15">
        <f>IF(OR(weather_data!H170="light rain",weather_data!H170="moderate rain",weather_data!H170="drizzle",weather_data!H170="thunderstorm"),1,0)</f>
        <v>0</v>
      </c>
      <c r="J170" s="15">
        <f>IF(weather_data!I170&gt;=25,1,0)</f>
        <v>0</v>
      </c>
    </row>
    <row r="171" ht="15.75" customHeight="1">
      <c r="A171" s="13">
        <f>weather_data!B171</f>
        <v>45930.26389</v>
      </c>
      <c r="B171" s="14">
        <f t="shared" si="1"/>
        <v>45930</v>
      </c>
      <c r="C171" s="15" t="str">
        <f t="shared" si="2"/>
        <v>2025-09</v>
      </c>
      <c r="D171" s="15">
        <f t="shared" si="3"/>
        <v>9</v>
      </c>
      <c r="E171" s="15" t="str">
        <f t="shared" si="4"/>
        <v>września</v>
      </c>
      <c r="F171" s="15" t="str">
        <f t="shared" si="5"/>
        <v>Q3</v>
      </c>
      <c r="G171" s="15" t="str">
        <f t="shared" si="6"/>
        <v>Autumn</v>
      </c>
      <c r="H171" s="16">
        <f>weather_data!E171-weather_data!D171</f>
        <v>-0.3</v>
      </c>
      <c r="I171" s="15">
        <f>IF(OR(weather_data!H171="light rain",weather_data!H171="moderate rain",weather_data!H171="drizzle",weather_data!H171="thunderstorm"),1,0)</f>
        <v>0</v>
      </c>
      <c r="J171" s="15">
        <f>IF(weather_data!I171&gt;=25,1,0)</f>
        <v>1</v>
      </c>
    </row>
    <row r="172" ht="15.75" customHeight="1">
      <c r="A172" s="13">
        <f>weather_data!B172</f>
        <v>45931.77083</v>
      </c>
      <c r="B172" s="14">
        <f t="shared" si="1"/>
        <v>45931</v>
      </c>
      <c r="C172" s="15" t="str">
        <f t="shared" si="2"/>
        <v>2025-10</v>
      </c>
      <c r="D172" s="15">
        <f t="shared" si="3"/>
        <v>10</v>
      </c>
      <c r="E172" s="15" t="str">
        <f t="shared" si="4"/>
        <v>października</v>
      </c>
      <c r="F172" s="15" t="str">
        <f t="shared" si="5"/>
        <v>Q4</v>
      </c>
      <c r="G172" s="15" t="str">
        <f t="shared" si="6"/>
        <v>Autumn</v>
      </c>
      <c r="H172" s="16">
        <f>weather_data!E172-weather_data!D172</f>
        <v>0.4</v>
      </c>
      <c r="I172" s="15">
        <f>IF(OR(weather_data!H172="light rain",weather_data!H172="moderate rain",weather_data!H172="drizzle",weather_data!H172="thunderstorm"),1,0)</f>
        <v>0</v>
      </c>
      <c r="J172" s="15">
        <f>IF(weather_data!I172&gt;=25,1,0)</f>
        <v>0</v>
      </c>
    </row>
    <row r="173" ht="15.75" customHeight="1">
      <c r="A173" s="13">
        <f>weather_data!B173</f>
        <v>45932.5</v>
      </c>
      <c r="B173" s="14">
        <f t="shared" si="1"/>
        <v>45932</v>
      </c>
      <c r="C173" s="15" t="str">
        <f t="shared" si="2"/>
        <v>2025-10</v>
      </c>
      <c r="D173" s="15">
        <f t="shared" si="3"/>
        <v>10</v>
      </c>
      <c r="E173" s="15" t="str">
        <f t="shared" si="4"/>
        <v>października</v>
      </c>
      <c r="F173" s="15" t="str">
        <f t="shared" si="5"/>
        <v>Q4</v>
      </c>
      <c r="G173" s="15" t="str">
        <f t="shared" si="6"/>
        <v>Autumn</v>
      </c>
      <c r="H173" s="16">
        <f>weather_data!E173-weather_data!D173</f>
        <v>-0.7</v>
      </c>
      <c r="I173" s="15">
        <f>IF(OR(weather_data!H173="light rain",weather_data!H173="moderate rain",weather_data!H173="drizzle",weather_data!H173="thunderstorm"),1,0)</f>
        <v>0</v>
      </c>
      <c r="J173" s="15">
        <f>IF(weather_data!I173&gt;=25,1,0)</f>
        <v>0</v>
      </c>
    </row>
    <row r="174" ht="15.75" customHeight="1">
      <c r="A174" s="13">
        <f>weather_data!B174</f>
        <v>45933.54167</v>
      </c>
      <c r="B174" s="14">
        <f t="shared" si="1"/>
        <v>45933</v>
      </c>
      <c r="C174" s="15" t="str">
        <f t="shared" si="2"/>
        <v>2025-10</v>
      </c>
      <c r="D174" s="15">
        <f t="shared" si="3"/>
        <v>10</v>
      </c>
      <c r="E174" s="15" t="str">
        <f t="shared" si="4"/>
        <v>października</v>
      </c>
      <c r="F174" s="15" t="str">
        <f t="shared" si="5"/>
        <v>Q4</v>
      </c>
      <c r="G174" s="15" t="str">
        <f t="shared" si="6"/>
        <v>Autumn</v>
      </c>
      <c r="H174" s="16">
        <f>weather_data!E174-weather_data!D174</f>
        <v>0.8</v>
      </c>
      <c r="I174" s="15">
        <f>IF(OR(weather_data!H174="light rain",weather_data!H174="moderate rain",weather_data!H174="drizzle",weather_data!H174="thunderstorm"),1,0)</f>
        <v>1</v>
      </c>
      <c r="J174" s="15">
        <f>IF(weather_data!I174&gt;=25,1,0)</f>
        <v>0</v>
      </c>
    </row>
    <row r="175" ht="15.75" customHeight="1">
      <c r="A175" s="13">
        <f>weather_data!B175</f>
        <v>45934.65972</v>
      </c>
      <c r="B175" s="14">
        <f t="shared" si="1"/>
        <v>45934</v>
      </c>
      <c r="C175" s="15" t="str">
        <f t="shared" si="2"/>
        <v>2025-10</v>
      </c>
      <c r="D175" s="15">
        <f t="shared" si="3"/>
        <v>10</v>
      </c>
      <c r="E175" s="15" t="str">
        <f t="shared" si="4"/>
        <v>października</v>
      </c>
      <c r="F175" s="15" t="str">
        <f t="shared" si="5"/>
        <v>Q4</v>
      </c>
      <c r="G175" s="15" t="str">
        <f t="shared" si="6"/>
        <v>Autumn</v>
      </c>
      <c r="H175" s="16">
        <f>weather_data!E175-weather_data!D175</f>
        <v>0.7</v>
      </c>
      <c r="I175" s="15">
        <f>IF(OR(weather_data!H175="light rain",weather_data!H175="moderate rain",weather_data!H175="drizzle",weather_data!H175="thunderstorm"),1,0)</f>
        <v>1</v>
      </c>
      <c r="J175" s="15">
        <f>IF(weather_data!I175&gt;=25,1,0)</f>
        <v>1</v>
      </c>
    </row>
    <row r="176" ht="15.75" customHeight="1">
      <c r="A176" s="13">
        <f>weather_data!B176</f>
        <v>45935.40278</v>
      </c>
      <c r="B176" s="14">
        <f t="shared" si="1"/>
        <v>45935</v>
      </c>
      <c r="C176" s="15" t="str">
        <f t="shared" si="2"/>
        <v>2025-10</v>
      </c>
      <c r="D176" s="15">
        <f t="shared" si="3"/>
        <v>10</v>
      </c>
      <c r="E176" s="15" t="str">
        <f t="shared" si="4"/>
        <v>października</v>
      </c>
      <c r="F176" s="15" t="str">
        <f t="shared" si="5"/>
        <v>Q4</v>
      </c>
      <c r="G176" s="15" t="str">
        <f t="shared" si="6"/>
        <v>Autumn</v>
      </c>
      <c r="H176" s="16">
        <f>weather_data!E176-weather_data!D176</f>
        <v>-0.7</v>
      </c>
      <c r="I176" s="15">
        <f>IF(OR(weather_data!H176="light rain",weather_data!H176="moderate rain",weather_data!H176="drizzle",weather_data!H176="thunderstorm"),1,0)</f>
        <v>1</v>
      </c>
      <c r="J176" s="15">
        <f>IF(weather_data!I176&gt;=25,1,0)</f>
        <v>0</v>
      </c>
    </row>
    <row r="177" ht="15.75" customHeight="1">
      <c r="A177" s="13">
        <f>weather_data!B177</f>
        <v>45936.30556</v>
      </c>
      <c r="B177" s="14">
        <f t="shared" si="1"/>
        <v>45936</v>
      </c>
      <c r="C177" s="15" t="str">
        <f t="shared" si="2"/>
        <v>2025-10</v>
      </c>
      <c r="D177" s="15">
        <f t="shared" si="3"/>
        <v>10</v>
      </c>
      <c r="E177" s="15" t="str">
        <f t="shared" si="4"/>
        <v>października</v>
      </c>
      <c r="F177" s="15" t="str">
        <f t="shared" si="5"/>
        <v>Q4</v>
      </c>
      <c r="G177" s="15" t="str">
        <f t="shared" si="6"/>
        <v>Autumn</v>
      </c>
      <c r="H177" s="16">
        <f>weather_data!E177-weather_data!D177</f>
        <v>0.1</v>
      </c>
      <c r="I177" s="15">
        <f>IF(OR(weather_data!H177="light rain",weather_data!H177="moderate rain",weather_data!H177="drizzle",weather_data!H177="thunderstorm"),1,0)</f>
        <v>1</v>
      </c>
      <c r="J177" s="15">
        <f>IF(weather_data!I177&gt;=25,1,0)</f>
        <v>0</v>
      </c>
    </row>
    <row r="178" ht="15.75" customHeight="1">
      <c r="A178" s="13">
        <f>weather_data!B178</f>
        <v>45937.82639</v>
      </c>
      <c r="B178" s="14">
        <f t="shared" si="1"/>
        <v>45937</v>
      </c>
      <c r="C178" s="15" t="str">
        <f t="shared" si="2"/>
        <v>2025-10</v>
      </c>
      <c r="D178" s="15">
        <f t="shared" si="3"/>
        <v>10</v>
      </c>
      <c r="E178" s="15" t="str">
        <f t="shared" si="4"/>
        <v>października</v>
      </c>
      <c r="F178" s="15" t="str">
        <f t="shared" si="5"/>
        <v>Q4</v>
      </c>
      <c r="G178" s="15" t="str">
        <f t="shared" si="6"/>
        <v>Autumn</v>
      </c>
      <c r="H178" s="16">
        <f>weather_data!E178-weather_data!D178</f>
        <v>0.4</v>
      </c>
      <c r="I178" s="15">
        <f>IF(OR(weather_data!H178="light rain",weather_data!H178="moderate rain",weather_data!H178="drizzle",weather_data!H178="thunderstorm"),1,0)</f>
        <v>0</v>
      </c>
      <c r="J178" s="15">
        <f>IF(weather_data!I178&gt;=25,1,0)</f>
        <v>0</v>
      </c>
    </row>
    <row r="179" ht="15.75" customHeight="1">
      <c r="A179" s="13">
        <f>weather_data!B179</f>
        <v>45938.70833</v>
      </c>
      <c r="B179" s="14">
        <f t="shared" si="1"/>
        <v>45938</v>
      </c>
      <c r="C179" s="15" t="str">
        <f t="shared" si="2"/>
        <v>2025-10</v>
      </c>
      <c r="D179" s="15">
        <f t="shared" si="3"/>
        <v>10</v>
      </c>
      <c r="E179" s="15" t="str">
        <f t="shared" si="4"/>
        <v>października</v>
      </c>
      <c r="F179" s="15" t="str">
        <f t="shared" si="5"/>
        <v>Q4</v>
      </c>
      <c r="G179" s="15" t="str">
        <f t="shared" si="6"/>
        <v>Autumn</v>
      </c>
      <c r="H179" s="16">
        <f>weather_data!E179-weather_data!D179</f>
        <v>-0.5</v>
      </c>
      <c r="I179" s="15">
        <f>IF(OR(weather_data!H179="light rain",weather_data!H179="moderate rain",weather_data!H179="drizzle",weather_data!H179="thunderstorm"),1,0)</f>
        <v>0</v>
      </c>
      <c r="J179" s="15">
        <f>IF(weather_data!I179&gt;=25,1,0)</f>
        <v>0</v>
      </c>
    </row>
    <row r="180" ht="15.75" customHeight="1">
      <c r="A180" s="13">
        <f>weather_data!B180</f>
        <v>45939.66667</v>
      </c>
      <c r="B180" s="14">
        <f t="shared" si="1"/>
        <v>45939</v>
      </c>
      <c r="C180" s="15" t="str">
        <f t="shared" si="2"/>
        <v>2025-10</v>
      </c>
      <c r="D180" s="15">
        <f t="shared" si="3"/>
        <v>10</v>
      </c>
      <c r="E180" s="15" t="str">
        <f t="shared" si="4"/>
        <v>października</v>
      </c>
      <c r="F180" s="15" t="str">
        <f t="shared" si="5"/>
        <v>Q4</v>
      </c>
      <c r="G180" s="15" t="str">
        <f t="shared" si="6"/>
        <v>Autumn</v>
      </c>
      <c r="H180" s="16">
        <f>weather_data!E180-weather_data!D180</f>
        <v>-0.3</v>
      </c>
      <c r="I180" s="15">
        <f>IF(OR(weather_data!H180="light rain",weather_data!H180="moderate rain",weather_data!H180="drizzle",weather_data!H180="thunderstorm"),1,0)</f>
        <v>1</v>
      </c>
      <c r="J180" s="15">
        <f>IF(weather_data!I180&gt;=25,1,0)</f>
        <v>1</v>
      </c>
    </row>
    <row r="181" ht="15.75" customHeight="1">
      <c r="A181" s="13">
        <f>weather_data!B181</f>
        <v>45940.8125</v>
      </c>
      <c r="B181" s="14">
        <f t="shared" si="1"/>
        <v>45940</v>
      </c>
      <c r="C181" s="15" t="str">
        <f t="shared" si="2"/>
        <v>2025-10</v>
      </c>
      <c r="D181" s="15">
        <f t="shared" si="3"/>
        <v>10</v>
      </c>
      <c r="E181" s="15" t="str">
        <f t="shared" si="4"/>
        <v>października</v>
      </c>
      <c r="F181" s="15" t="str">
        <f t="shared" si="5"/>
        <v>Q4</v>
      </c>
      <c r="G181" s="15" t="str">
        <f t="shared" si="6"/>
        <v>Autumn</v>
      </c>
      <c r="H181" s="16">
        <f>weather_data!E181-weather_data!D181</f>
        <v>-1</v>
      </c>
      <c r="I181" s="15">
        <f>IF(OR(weather_data!H181="light rain",weather_data!H181="moderate rain",weather_data!H181="drizzle",weather_data!H181="thunderstorm"),1,0)</f>
        <v>0</v>
      </c>
      <c r="J181" s="15">
        <f>IF(weather_data!I181&gt;=25,1,0)</f>
        <v>0</v>
      </c>
    </row>
    <row r="182" ht="15.75" customHeight="1">
      <c r="A182" s="13">
        <f>weather_data!B182</f>
        <v>45941.39583</v>
      </c>
      <c r="B182" s="14">
        <f t="shared" si="1"/>
        <v>45941</v>
      </c>
      <c r="C182" s="15" t="str">
        <f t="shared" si="2"/>
        <v>2025-10</v>
      </c>
      <c r="D182" s="15">
        <f t="shared" si="3"/>
        <v>10</v>
      </c>
      <c r="E182" s="15" t="str">
        <f t="shared" si="4"/>
        <v>października</v>
      </c>
      <c r="F182" s="15" t="str">
        <f t="shared" si="5"/>
        <v>Q4</v>
      </c>
      <c r="G182" s="15" t="str">
        <f t="shared" si="6"/>
        <v>Autumn</v>
      </c>
      <c r="H182" s="16">
        <f>weather_data!E182-weather_data!D182</f>
        <v>0.6</v>
      </c>
      <c r="I182" s="15">
        <f>IF(OR(weather_data!H182="light rain",weather_data!H182="moderate rain",weather_data!H182="drizzle",weather_data!H182="thunderstorm"),1,0)</f>
        <v>0</v>
      </c>
      <c r="J182" s="15">
        <f>IF(weather_data!I182&gt;=25,1,0)</f>
        <v>0</v>
      </c>
    </row>
    <row r="183" ht="15.75" customHeight="1">
      <c r="A183" s="13">
        <f>weather_data!B183</f>
        <v>45942.74306</v>
      </c>
      <c r="B183" s="14">
        <f t="shared" si="1"/>
        <v>45942</v>
      </c>
      <c r="C183" s="15" t="str">
        <f t="shared" si="2"/>
        <v>2025-10</v>
      </c>
      <c r="D183" s="15">
        <f t="shared" si="3"/>
        <v>10</v>
      </c>
      <c r="E183" s="15" t="str">
        <f t="shared" si="4"/>
        <v>października</v>
      </c>
      <c r="F183" s="15" t="str">
        <f t="shared" si="5"/>
        <v>Q4</v>
      </c>
      <c r="G183" s="15" t="str">
        <f t="shared" si="6"/>
        <v>Autumn</v>
      </c>
      <c r="H183" s="16">
        <f>weather_data!E183-weather_data!D183</f>
        <v>-0.8</v>
      </c>
      <c r="I183" s="15">
        <f>IF(OR(weather_data!H183="light rain",weather_data!H183="moderate rain",weather_data!H183="drizzle",weather_data!H183="thunderstorm"),1,0)</f>
        <v>0</v>
      </c>
      <c r="J183" s="15">
        <f>IF(weather_data!I183&gt;=25,1,0)</f>
        <v>0</v>
      </c>
    </row>
    <row r="184" ht="15.75" customHeight="1">
      <c r="A184" s="13">
        <f>weather_data!B184</f>
        <v>45943.86806</v>
      </c>
      <c r="B184" s="14">
        <f t="shared" si="1"/>
        <v>45943</v>
      </c>
      <c r="C184" s="15" t="str">
        <f t="shared" si="2"/>
        <v>2025-10</v>
      </c>
      <c r="D184" s="15">
        <f t="shared" si="3"/>
        <v>10</v>
      </c>
      <c r="E184" s="15" t="str">
        <f t="shared" si="4"/>
        <v>października</v>
      </c>
      <c r="F184" s="15" t="str">
        <f t="shared" si="5"/>
        <v>Q4</v>
      </c>
      <c r="G184" s="15" t="str">
        <f t="shared" si="6"/>
        <v>Autumn</v>
      </c>
      <c r="H184" s="16">
        <f>weather_data!E184-weather_data!D184</f>
        <v>-0.1</v>
      </c>
      <c r="I184" s="15">
        <f>IF(OR(weather_data!H184="light rain",weather_data!H184="moderate rain",weather_data!H184="drizzle",weather_data!H184="thunderstorm"),1,0)</f>
        <v>1</v>
      </c>
      <c r="J184" s="15">
        <f>IF(weather_data!I184&gt;=25,1,0)</f>
        <v>0</v>
      </c>
    </row>
    <row r="185" ht="15.75" customHeight="1">
      <c r="A185" s="13">
        <f>weather_data!B185</f>
        <v>45944.4375</v>
      </c>
      <c r="B185" s="14">
        <f t="shared" si="1"/>
        <v>45944</v>
      </c>
      <c r="C185" s="15" t="str">
        <f t="shared" si="2"/>
        <v>2025-10</v>
      </c>
      <c r="D185" s="15">
        <f t="shared" si="3"/>
        <v>10</v>
      </c>
      <c r="E185" s="15" t="str">
        <f t="shared" si="4"/>
        <v>października</v>
      </c>
      <c r="F185" s="15" t="str">
        <f t="shared" si="5"/>
        <v>Q4</v>
      </c>
      <c r="G185" s="15" t="str">
        <f t="shared" si="6"/>
        <v>Autumn</v>
      </c>
      <c r="H185" s="16">
        <f>weather_data!E185-weather_data!D185</f>
        <v>-0.6</v>
      </c>
      <c r="I185" s="15">
        <f>IF(OR(weather_data!H185="light rain",weather_data!H185="moderate rain",weather_data!H185="drizzle",weather_data!H185="thunderstorm"),1,0)</f>
        <v>0</v>
      </c>
      <c r="J185" s="15">
        <f>IF(weather_data!I185&gt;=25,1,0)</f>
        <v>0</v>
      </c>
    </row>
    <row r="186" ht="15.75" customHeight="1">
      <c r="A186" s="13">
        <f>weather_data!B186</f>
        <v>45946.49306</v>
      </c>
      <c r="B186" s="14">
        <f t="shared" si="1"/>
        <v>45946</v>
      </c>
      <c r="C186" s="15" t="str">
        <f t="shared" si="2"/>
        <v>2025-10</v>
      </c>
      <c r="D186" s="15">
        <f t="shared" si="3"/>
        <v>10</v>
      </c>
      <c r="E186" s="15" t="str">
        <f t="shared" si="4"/>
        <v>października</v>
      </c>
      <c r="F186" s="15" t="str">
        <f t="shared" si="5"/>
        <v>Q4</v>
      </c>
      <c r="G186" s="15" t="str">
        <f t="shared" si="6"/>
        <v>Autumn</v>
      </c>
      <c r="H186" s="16">
        <f>weather_data!E186-weather_data!D186</f>
        <v>0.4</v>
      </c>
      <c r="I186" s="15">
        <f>IF(OR(weather_data!H186="light rain",weather_data!H186="moderate rain",weather_data!H186="drizzle",weather_data!H186="thunderstorm"),1,0)</f>
        <v>0</v>
      </c>
      <c r="J186" s="15">
        <f>IF(weather_data!I186&gt;=25,1,0)</f>
        <v>0</v>
      </c>
    </row>
    <row r="187" ht="15.75" customHeight="1">
      <c r="A187" s="13">
        <f>weather_data!B187</f>
        <v>45947.61111</v>
      </c>
      <c r="B187" s="14">
        <f t="shared" si="1"/>
        <v>45947</v>
      </c>
      <c r="C187" s="15" t="str">
        <f t="shared" si="2"/>
        <v>2025-10</v>
      </c>
      <c r="D187" s="15">
        <f t="shared" si="3"/>
        <v>10</v>
      </c>
      <c r="E187" s="15" t="str">
        <f t="shared" si="4"/>
        <v>października</v>
      </c>
      <c r="F187" s="15" t="str">
        <f t="shared" si="5"/>
        <v>Q4</v>
      </c>
      <c r="G187" s="15" t="str">
        <f t="shared" si="6"/>
        <v>Autumn</v>
      </c>
      <c r="H187" s="16">
        <f>weather_data!E187-weather_data!D187</f>
        <v>-0.3</v>
      </c>
      <c r="I187" s="15">
        <f>IF(OR(weather_data!H187="light rain",weather_data!H187="moderate rain",weather_data!H187="drizzle",weather_data!H187="thunderstorm"),1,0)</f>
        <v>0</v>
      </c>
      <c r="J187" s="15">
        <f>IF(weather_data!I187&gt;=25,1,0)</f>
        <v>0</v>
      </c>
    </row>
    <row r="188" ht="15.75" customHeight="1">
      <c r="A188" s="13">
        <f>weather_data!B188</f>
        <v>45948.89583</v>
      </c>
      <c r="B188" s="14">
        <f t="shared" si="1"/>
        <v>45948</v>
      </c>
      <c r="C188" s="15" t="str">
        <f t="shared" si="2"/>
        <v>2025-10</v>
      </c>
      <c r="D188" s="15">
        <f t="shared" si="3"/>
        <v>10</v>
      </c>
      <c r="E188" s="15" t="str">
        <f t="shared" si="4"/>
        <v>października</v>
      </c>
      <c r="F188" s="15" t="str">
        <f t="shared" si="5"/>
        <v>Q4</v>
      </c>
      <c r="G188" s="15" t="str">
        <f t="shared" si="6"/>
        <v>Autumn</v>
      </c>
      <c r="H188" s="16">
        <f>weather_data!E188-weather_data!D188</f>
        <v>0.7</v>
      </c>
      <c r="I188" s="15">
        <f>IF(OR(weather_data!H188="light rain",weather_data!H188="moderate rain",weather_data!H188="drizzle",weather_data!H188="thunderstorm"),1,0)</f>
        <v>1</v>
      </c>
      <c r="J188" s="15">
        <f>IF(weather_data!I188&gt;=25,1,0)</f>
        <v>0</v>
      </c>
    </row>
    <row r="189" ht="15.75" customHeight="1">
      <c r="A189" s="13">
        <f>weather_data!B189</f>
        <v>45949.82639</v>
      </c>
      <c r="B189" s="14">
        <f t="shared" si="1"/>
        <v>45949</v>
      </c>
      <c r="C189" s="15" t="str">
        <f t="shared" si="2"/>
        <v>2025-10</v>
      </c>
      <c r="D189" s="15">
        <f t="shared" si="3"/>
        <v>10</v>
      </c>
      <c r="E189" s="15" t="str">
        <f t="shared" si="4"/>
        <v>października</v>
      </c>
      <c r="F189" s="15" t="str">
        <f t="shared" si="5"/>
        <v>Q4</v>
      </c>
      <c r="G189" s="15" t="str">
        <f t="shared" si="6"/>
        <v>Autumn</v>
      </c>
      <c r="H189" s="16">
        <f>weather_data!E189-weather_data!D189</f>
        <v>-0.1</v>
      </c>
      <c r="I189" s="15">
        <f>IF(OR(weather_data!H189="light rain",weather_data!H189="moderate rain",weather_data!H189="drizzle",weather_data!H189="thunderstorm"),1,0)</f>
        <v>0</v>
      </c>
      <c r="J189" s="15">
        <f>IF(weather_data!I189&gt;=25,1,0)</f>
        <v>0</v>
      </c>
    </row>
    <row r="190" ht="15.75" customHeight="1">
      <c r="A190" s="13">
        <f>weather_data!B190</f>
        <v>45950.59722</v>
      </c>
      <c r="B190" s="14">
        <f t="shared" si="1"/>
        <v>45950</v>
      </c>
      <c r="C190" s="15" t="str">
        <f t="shared" si="2"/>
        <v>2025-10</v>
      </c>
      <c r="D190" s="15">
        <f t="shared" si="3"/>
        <v>10</v>
      </c>
      <c r="E190" s="15" t="str">
        <f t="shared" si="4"/>
        <v>października</v>
      </c>
      <c r="F190" s="15" t="str">
        <f t="shared" si="5"/>
        <v>Q4</v>
      </c>
      <c r="G190" s="15" t="str">
        <f t="shared" si="6"/>
        <v>Autumn</v>
      </c>
      <c r="H190" s="16">
        <f>weather_data!E190-weather_data!D190</f>
        <v>-1.1</v>
      </c>
      <c r="I190" s="15">
        <f>IF(OR(weather_data!H190="light rain",weather_data!H190="moderate rain",weather_data!H190="drizzle",weather_data!H190="thunderstorm"),1,0)</f>
        <v>0</v>
      </c>
      <c r="J190" s="15">
        <f>IF(weather_data!I190&gt;=25,1,0)</f>
        <v>0</v>
      </c>
    </row>
    <row r="191" ht="15.75" customHeight="1">
      <c r="A191" s="13">
        <f>weather_data!B191</f>
        <v>45951.54167</v>
      </c>
      <c r="B191" s="14">
        <f t="shared" si="1"/>
        <v>45951</v>
      </c>
      <c r="C191" s="15" t="str">
        <f t="shared" si="2"/>
        <v>2025-10</v>
      </c>
      <c r="D191" s="15">
        <f t="shared" si="3"/>
        <v>10</v>
      </c>
      <c r="E191" s="15" t="str">
        <f t="shared" si="4"/>
        <v>października</v>
      </c>
      <c r="F191" s="15" t="str">
        <f t="shared" si="5"/>
        <v>Q4</v>
      </c>
      <c r="G191" s="15" t="str">
        <f t="shared" si="6"/>
        <v>Autumn</v>
      </c>
      <c r="H191" s="16">
        <f>weather_data!E191-weather_data!D191</f>
        <v>0.6</v>
      </c>
      <c r="I191" s="15">
        <f>IF(OR(weather_data!H191="light rain",weather_data!H191="moderate rain",weather_data!H191="drizzle",weather_data!H191="thunderstorm"),1,0)</f>
        <v>0</v>
      </c>
      <c r="J191" s="15">
        <f>IF(weather_data!I191&gt;=25,1,0)</f>
        <v>0</v>
      </c>
    </row>
    <row r="192" ht="15.75" customHeight="1">
      <c r="A192" s="13">
        <f>weather_data!B192</f>
        <v>45952.60417</v>
      </c>
      <c r="B192" s="14">
        <f t="shared" si="1"/>
        <v>45952</v>
      </c>
      <c r="C192" s="15" t="str">
        <f t="shared" si="2"/>
        <v>2025-10</v>
      </c>
      <c r="D192" s="15">
        <f t="shared" si="3"/>
        <v>10</v>
      </c>
      <c r="E192" s="15" t="str">
        <f t="shared" si="4"/>
        <v>października</v>
      </c>
      <c r="F192" s="15" t="str">
        <f t="shared" si="5"/>
        <v>Q4</v>
      </c>
      <c r="G192" s="15" t="str">
        <f t="shared" si="6"/>
        <v>Autumn</v>
      </c>
      <c r="H192" s="16">
        <f>weather_data!E192-weather_data!D192</f>
        <v>-0.9</v>
      </c>
      <c r="I192" s="15">
        <f>IF(OR(weather_data!H192="light rain",weather_data!H192="moderate rain",weather_data!H192="drizzle",weather_data!H192="thunderstorm"),1,0)</f>
        <v>0</v>
      </c>
      <c r="J192" s="15">
        <f>IF(weather_data!I192&gt;=25,1,0)</f>
        <v>0</v>
      </c>
    </row>
    <row r="193" ht="15.75" customHeight="1">
      <c r="A193" s="13">
        <f>weather_data!B193</f>
        <v>45953.5625</v>
      </c>
      <c r="B193" s="14">
        <f t="shared" si="1"/>
        <v>45953</v>
      </c>
      <c r="C193" s="15" t="str">
        <f t="shared" si="2"/>
        <v>2025-10</v>
      </c>
      <c r="D193" s="15">
        <f t="shared" si="3"/>
        <v>10</v>
      </c>
      <c r="E193" s="15" t="str">
        <f t="shared" si="4"/>
        <v>października</v>
      </c>
      <c r="F193" s="15" t="str">
        <f t="shared" si="5"/>
        <v>Q4</v>
      </c>
      <c r="G193" s="15" t="str">
        <f t="shared" si="6"/>
        <v>Autumn</v>
      </c>
      <c r="H193" s="16">
        <f>weather_data!E193-weather_data!D193</f>
        <v>1.1</v>
      </c>
      <c r="I193" s="15">
        <f>IF(OR(weather_data!H193="light rain",weather_data!H193="moderate rain",weather_data!H193="drizzle",weather_data!H193="thunderstorm"),1,0)</f>
        <v>0</v>
      </c>
      <c r="J193" s="15">
        <f>IF(weather_data!I193&gt;=25,1,0)</f>
        <v>0</v>
      </c>
    </row>
    <row r="194" ht="15.75" customHeight="1">
      <c r="A194" s="13">
        <f>weather_data!B194</f>
        <v>45954.76389</v>
      </c>
      <c r="B194" s="14">
        <f t="shared" si="1"/>
        <v>45954</v>
      </c>
      <c r="C194" s="15" t="str">
        <f t="shared" si="2"/>
        <v>2025-10</v>
      </c>
      <c r="D194" s="15">
        <f t="shared" si="3"/>
        <v>10</v>
      </c>
      <c r="E194" s="15" t="str">
        <f t="shared" si="4"/>
        <v>października</v>
      </c>
      <c r="F194" s="15" t="str">
        <f t="shared" si="5"/>
        <v>Q4</v>
      </c>
      <c r="G194" s="15" t="str">
        <f t="shared" si="6"/>
        <v>Autumn</v>
      </c>
      <c r="H194" s="16">
        <f>weather_data!E194-weather_data!D194</f>
        <v>0.2</v>
      </c>
      <c r="I194" s="15">
        <f>IF(OR(weather_data!H194="light rain",weather_data!H194="moderate rain",weather_data!H194="drizzle",weather_data!H194="thunderstorm"),1,0)</f>
        <v>0</v>
      </c>
      <c r="J194" s="15">
        <f>IF(weather_data!I194&gt;=25,1,0)</f>
        <v>0</v>
      </c>
    </row>
    <row r="195" ht="15.75" customHeight="1">
      <c r="A195" s="13">
        <f>weather_data!B195</f>
        <v>45955.27083</v>
      </c>
      <c r="B195" s="14">
        <f t="shared" si="1"/>
        <v>45955</v>
      </c>
      <c r="C195" s="15" t="str">
        <f t="shared" si="2"/>
        <v>2025-10</v>
      </c>
      <c r="D195" s="15">
        <f t="shared" si="3"/>
        <v>10</v>
      </c>
      <c r="E195" s="15" t="str">
        <f t="shared" si="4"/>
        <v>października</v>
      </c>
      <c r="F195" s="15" t="str">
        <f t="shared" si="5"/>
        <v>Q4</v>
      </c>
      <c r="G195" s="15" t="str">
        <f t="shared" si="6"/>
        <v>Autumn</v>
      </c>
      <c r="H195" s="16">
        <f>weather_data!E195-weather_data!D195</f>
        <v>-0.2</v>
      </c>
      <c r="I195" s="15">
        <f>IF(OR(weather_data!H195="light rain",weather_data!H195="moderate rain",weather_data!H195="drizzle",weather_data!H195="thunderstorm"),1,0)</f>
        <v>0</v>
      </c>
      <c r="J195" s="15">
        <f>IF(weather_data!I195&gt;=25,1,0)</f>
        <v>0</v>
      </c>
    </row>
    <row r="196" ht="15.75" customHeight="1">
      <c r="A196" s="13">
        <f>weather_data!B196</f>
        <v>45956.67361</v>
      </c>
      <c r="B196" s="14">
        <f t="shared" si="1"/>
        <v>45956</v>
      </c>
      <c r="C196" s="15" t="str">
        <f t="shared" si="2"/>
        <v>2025-10</v>
      </c>
      <c r="D196" s="15">
        <f t="shared" si="3"/>
        <v>10</v>
      </c>
      <c r="E196" s="15" t="str">
        <f t="shared" si="4"/>
        <v>października</v>
      </c>
      <c r="F196" s="15" t="str">
        <f t="shared" si="5"/>
        <v>Q4</v>
      </c>
      <c r="G196" s="15" t="str">
        <f t="shared" si="6"/>
        <v>Autumn</v>
      </c>
      <c r="H196" s="16">
        <f>weather_data!E196-weather_data!D196</f>
        <v>1.2</v>
      </c>
      <c r="I196" s="15">
        <f>IF(OR(weather_data!H196="light rain",weather_data!H196="moderate rain",weather_data!H196="drizzle",weather_data!H196="thunderstorm"),1,0)</f>
        <v>0</v>
      </c>
      <c r="J196" s="15">
        <f>IF(weather_data!I196&gt;=25,1,0)</f>
        <v>0</v>
      </c>
    </row>
    <row r="197" ht="15.75" customHeight="1">
      <c r="A197" s="13">
        <f>weather_data!B197</f>
        <v>45957.88194</v>
      </c>
      <c r="B197" s="14">
        <f t="shared" si="1"/>
        <v>45957</v>
      </c>
      <c r="C197" s="15" t="str">
        <f t="shared" si="2"/>
        <v>2025-10</v>
      </c>
      <c r="D197" s="15">
        <f t="shared" si="3"/>
        <v>10</v>
      </c>
      <c r="E197" s="15" t="str">
        <f t="shared" si="4"/>
        <v>października</v>
      </c>
      <c r="F197" s="15" t="str">
        <f t="shared" si="5"/>
        <v>Q4</v>
      </c>
      <c r="G197" s="15" t="str">
        <f t="shared" si="6"/>
        <v>Autumn</v>
      </c>
      <c r="H197" s="16">
        <f>weather_data!E197-weather_data!D197</f>
        <v>-0.3</v>
      </c>
      <c r="I197" s="15">
        <f>IF(OR(weather_data!H197="light rain",weather_data!H197="moderate rain",weather_data!H197="drizzle",weather_data!H197="thunderstorm"),1,0)</f>
        <v>0</v>
      </c>
      <c r="J197" s="15">
        <f>IF(weather_data!I197&gt;=25,1,0)</f>
        <v>0</v>
      </c>
    </row>
    <row r="198" ht="15.75" customHeight="1">
      <c r="A198" s="13">
        <f>weather_data!B198</f>
        <v>45958.72222</v>
      </c>
      <c r="B198" s="14">
        <f t="shared" si="1"/>
        <v>45958</v>
      </c>
      <c r="C198" s="15" t="str">
        <f t="shared" si="2"/>
        <v>2025-10</v>
      </c>
      <c r="D198" s="15">
        <f t="shared" si="3"/>
        <v>10</v>
      </c>
      <c r="E198" s="15" t="str">
        <f t="shared" si="4"/>
        <v>października</v>
      </c>
      <c r="F198" s="15" t="str">
        <f t="shared" si="5"/>
        <v>Q4</v>
      </c>
      <c r="G198" s="15" t="str">
        <f t="shared" si="6"/>
        <v>Autumn</v>
      </c>
      <c r="H198" s="16">
        <f>weather_data!E198-weather_data!D198</f>
        <v>-1</v>
      </c>
      <c r="I198" s="15">
        <f>IF(OR(weather_data!H198="light rain",weather_data!H198="moderate rain",weather_data!H198="drizzle",weather_data!H198="thunderstorm"),1,0)</f>
        <v>0</v>
      </c>
      <c r="J198" s="15">
        <f>IF(weather_data!I198&gt;=25,1,0)</f>
        <v>0</v>
      </c>
    </row>
    <row r="199" ht="15.75" customHeight="1">
      <c r="A199" s="13">
        <f>weather_data!B199</f>
        <v>45959.68056</v>
      </c>
      <c r="B199" s="14">
        <f t="shared" si="1"/>
        <v>45959</v>
      </c>
      <c r="C199" s="15" t="str">
        <f t="shared" si="2"/>
        <v>2025-10</v>
      </c>
      <c r="D199" s="15">
        <f t="shared" si="3"/>
        <v>10</v>
      </c>
      <c r="E199" s="15" t="str">
        <f t="shared" si="4"/>
        <v>października</v>
      </c>
      <c r="F199" s="15" t="str">
        <f t="shared" si="5"/>
        <v>Q4</v>
      </c>
      <c r="G199" s="15" t="str">
        <f t="shared" si="6"/>
        <v>Autumn</v>
      </c>
      <c r="H199" s="16">
        <f>weather_data!E199-weather_data!D199</f>
        <v>0.4</v>
      </c>
      <c r="I199" s="15">
        <f>IF(OR(weather_data!H199="light rain",weather_data!H199="moderate rain",weather_data!H199="drizzle",weather_data!H199="thunderstorm"),1,0)</f>
        <v>0</v>
      </c>
      <c r="J199" s="15">
        <f>IF(weather_data!I199&gt;=25,1,0)</f>
        <v>0</v>
      </c>
    </row>
    <row r="200" ht="15.75" customHeight="1">
      <c r="A200" s="13">
        <f>weather_data!B200</f>
        <v>45960.61111</v>
      </c>
      <c r="B200" s="14">
        <f t="shared" si="1"/>
        <v>45960</v>
      </c>
      <c r="C200" s="15" t="str">
        <f t="shared" si="2"/>
        <v>2025-10</v>
      </c>
      <c r="D200" s="15">
        <f t="shared" si="3"/>
        <v>10</v>
      </c>
      <c r="E200" s="15" t="str">
        <f t="shared" si="4"/>
        <v>października</v>
      </c>
      <c r="F200" s="15" t="str">
        <f t="shared" si="5"/>
        <v>Q4</v>
      </c>
      <c r="G200" s="15" t="str">
        <f t="shared" si="6"/>
        <v>Autumn</v>
      </c>
      <c r="H200" s="16">
        <f>weather_data!E200-weather_data!D200</f>
        <v>-0.6</v>
      </c>
      <c r="I200" s="15">
        <f>IF(OR(weather_data!H200="light rain",weather_data!H200="moderate rain",weather_data!H200="drizzle",weather_data!H200="thunderstorm"),1,0)</f>
        <v>0</v>
      </c>
      <c r="J200" s="15">
        <f>IF(weather_data!I200&gt;=25,1,0)</f>
        <v>0</v>
      </c>
    </row>
    <row r="201" ht="15.75" customHeight="1">
      <c r="A201" s="13">
        <f>weather_data!B201</f>
        <v>45961.27778</v>
      </c>
      <c r="B201" s="14">
        <f t="shared" si="1"/>
        <v>45961</v>
      </c>
      <c r="C201" s="15" t="str">
        <f t="shared" si="2"/>
        <v>2025-10</v>
      </c>
      <c r="D201" s="15">
        <f t="shared" si="3"/>
        <v>10</v>
      </c>
      <c r="E201" s="15" t="str">
        <f t="shared" si="4"/>
        <v>października</v>
      </c>
      <c r="F201" s="15" t="str">
        <f t="shared" si="5"/>
        <v>Q4</v>
      </c>
      <c r="G201" s="15" t="str">
        <f t="shared" si="6"/>
        <v>Autumn</v>
      </c>
      <c r="H201" s="16">
        <f>weather_data!E201-weather_data!D201</f>
        <v>-0.5</v>
      </c>
      <c r="I201" s="15">
        <f>IF(OR(weather_data!H201="light rain",weather_data!H201="moderate rain",weather_data!H201="drizzle",weather_data!H201="thunderstorm"),1,0)</f>
        <v>0</v>
      </c>
      <c r="J201" s="15">
        <f>IF(weather_data!I201&gt;=25,1,0)</f>
        <v>0</v>
      </c>
    </row>
    <row r="202" ht="15.75" customHeight="1">
      <c r="A202" s="13">
        <f>weather_data!B202</f>
        <v>45962.5</v>
      </c>
      <c r="B202" s="14">
        <f t="shared" si="1"/>
        <v>45962</v>
      </c>
      <c r="C202" s="15" t="str">
        <f t="shared" si="2"/>
        <v>2025-11</v>
      </c>
      <c r="D202" s="15">
        <f t="shared" si="3"/>
        <v>11</v>
      </c>
      <c r="E202" s="15" t="str">
        <f t="shared" si="4"/>
        <v>listopada</v>
      </c>
      <c r="F202" s="15" t="str">
        <f t="shared" si="5"/>
        <v>Q4</v>
      </c>
      <c r="G202" s="15" t="str">
        <f t="shared" si="6"/>
        <v>Autumn</v>
      </c>
      <c r="H202" s="16">
        <f>weather_data!E202-weather_data!D202</f>
        <v>0.9</v>
      </c>
      <c r="I202" s="15">
        <f>IF(OR(weather_data!H202="light rain",weather_data!H202="moderate rain",weather_data!H202="drizzle",weather_data!H202="thunderstorm"),1,0)</f>
        <v>0</v>
      </c>
      <c r="J202" s="15">
        <f>IF(weather_data!I202&gt;=25,1,0)</f>
        <v>0</v>
      </c>
    </row>
    <row r="203" ht="15.75" customHeight="1">
      <c r="A203" s="13">
        <f>weather_data!B203</f>
        <v>45963.57639</v>
      </c>
      <c r="B203" s="14">
        <f t="shared" si="1"/>
        <v>45963</v>
      </c>
      <c r="C203" s="15" t="str">
        <f t="shared" si="2"/>
        <v>2025-11</v>
      </c>
      <c r="D203" s="15">
        <f t="shared" si="3"/>
        <v>11</v>
      </c>
      <c r="E203" s="15" t="str">
        <f t="shared" si="4"/>
        <v>listopada</v>
      </c>
      <c r="F203" s="15" t="str">
        <f t="shared" si="5"/>
        <v>Q4</v>
      </c>
      <c r="G203" s="15" t="str">
        <f t="shared" si="6"/>
        <v>Autumn</v>
      </c>
      <c r="H203" s="16">
        <f>weather_data!E203-weather_data!D203</f>
        <v>-0.4</v>
      </c>
      <c r="I203" s="15">
        <f>IF(OR(weather_data!H203="light rain",weather_data!H203="moderate rain",weather_data!H203="drizzle",weather_data!H203="thunderstorm"),1,0)</f>
        <v>0</v>
      </c>
      <c r="J203" s="15">
        <f>IF(weather_data!I203&gt;=25,1,0)</f>
        <v>0</v>
      </c>
    </row>
    <row r="204" ht="15.75" customHeight="1">
      <c r="A204" s="13">
        <f>weather_data!B204</f>
        <v>45964.8125</v>
      </c>
      <c r="B204" s="14">
        <f t="shared" si="1"/>
        <v>45964</v>
      </c>
      <c r="C204" s="15" t="str">
        <f t="shared" si="2"/>
        <v>2025-11</v>
      </c>
      <c r="D204" s="15">
        <f t="shared" si="3"/>
        <v>11</v>
      </c>
      <c r="E204" s="15" t="str">
        <f t="shared" si="4"/>
        <v>listopada</v>
      </c>
      <c r="F204" s="15" t="str">
        <f t="shared" si="5"/>
        <v>Q4</v>
      </c>
      <c r="G204" s="15" t="str">
        <f t="shared" si="6"/>
        <v>Autumn</v>
      </c>
      <c r="H204" s="16">
        <f>weather_data!E204-weather_data!D204</f>
        <v>0.7</v>
      </c>
      <c r="I204" s="15">
        <f>IF(OR(weather_data!H204="light rain",weather_data!H204="moderate rain",weather_data!H204="drizzle",weather_data!H204="thunderstorm"),1,0)</f>
        <v>0</v>
      </c>
      <c r="J204" s="15">
        <f>IF(weather_data!I204&gt;=25,1,0)</f>
        <v>0</v>
      </c>
    </row>
    <row r="205" ht="15.75" customHeight="1">
      <c r="A205" s="13">
        <f>weather_data!B205</f>
        <v>45965.57639</v>
      </c>
      <c r="B205" s="14">
        <f t="shared" si="1"/>
        <v>45965</v>
      </c>
      <c r="C205" s="15" t="str">
        <f t="shared" si="2"/>
        <v>2025-11</v>
      </c>
      <c r="D205" s="15">
        <f t="shared" si="3"/>
        <v>11</v>
      </c>
      <c r="E205" s="15" t="str">
        <f t="shared" si="4"/>
        <v>listopada</v>
      </c>
      <c r="F205" s="15" t="str">
        <f t="shared" si="5"/>
        <v>Q4</v>
      </c>
      <c r="G205" s="15" t="str">
        <f t="shared" si="6"/>
        <v>Autumn</v>
      </c>
      <c r="H205" s="16">
        <f>weather_data!E205-weather_data!D205</f>
        <v>-0.4</v>
      </c>
      <c r="I205" s="15">
        <f>IF(OR(weather_data!H205="light rain",weather_data!H205="moderate rain",weather_data!H205="drizzle",weather_data!H205="thunderstorm"),1,0)</f>
        <v>0</v>
      </c>
      <c r="J205" s="15">
        <f>IF(weather_data!I205&gt;=25,1,0)</f>
        <v>0</v>
      </c>
    </row>
    <row r="206" ht="15.75" customHeight="1">
      <c r="A206" s="13">
        <f>weather_data!B206</f>
        <v>45966.90972</v>
      </c>
      <c r="B206" s="14">
        <f t="shared" si="1"/>
        <v>45966</v>
      </c>
      <c r="C206" s="15" t="str">
        <f t="shared" si="2"/>
        <v>2025-11</v>
      </c>
      <c r="D206" s="15">
        <f t="shared" si="3"/>
        <v>11</v>
      </c>
      <c r="E206" s="15" t="str">
        <f t="shared" si="4"/>
        <v>listopada</v>
      </c>
      <c r="F206" s="15" t="str">
        <f t="shared" si="5"/>
        <v>Q4</v>
      </c>
      <c r="G206" s="15" t="str">
        <f t="shared" si="6"/>
        <v>Autumn</v>
      </c>
      <c r="H206" s="16">
        <f>weather_data!E206-weather_data!D206</f>
        <v>1.2</v>
      </c>
      <c r="I206" s="15">
        <f>IF(OR(weather_data!H206="light rain",weather_data!H206="moderate rain",weather_data!H206="drizzle",weather_data!H206="thunderstorm"),1,0)</f>
        <v>0</v>
      </c>
      <c r="J206" s="15">
        <f>IF(weather_data!I206&gt;=25,1,0)</f>
        <v>0</v>
      </c>
    </row>
    <row r="207" ht="15.75" customHeight="1">
      <c r="A207" s="13">
        <f>weather_data!B207</f>
        <v>45967.89583</v>
      </c>
      <c r="B207" s="14">
        <f t="shared" si="1"/>
        <v>45967</v>
      </c>
      <c r="C207" s="15" t="str">
        <f t="shared" si="2"/>
        <v>2025-11</v>
      </c>
      <c r="D207" s="15">
        <f t="shared" si="3"/>
        <v>11</v>
      </c>
      <c r="E207" s="15" t="str">
        <f t="shared" si="4"/>
        <v>listopada</v>
      </c>
      <c r="F207" s="15" t="str">
        <f t="shared" si="5"/>
        <v>Q4</v>
      </c>
      <c r="G207" s="15" t="str">
        <f t="shared" si="6"/>
        <v>Autumn</v>
      </c>
      <c r="H207" s="16">
        <f>weather_data!E207-weather_data!D207</f>
        <v>-0.4</v>
      </c>
      <c r="I207" s="15">
        <f>IF(OR(weather_data!H207="light rain",weather_data!H207="moderate rain",weather_data!H207="drizzle",weather_data!H207="thunderstorm"),1,0)</f>
        <v>1</v>
      </c>
      <c r="J207" s="15">
        <f>IF(weather_data!I207&gt;=25,1,0)</f>
        <v>1</v>
      </c>
    </row>
    <row r="208" ht="15.75" customHeight="1">
      <c r="A208" s="13">
        <f>weather_data!B208</f>
        <v>45968.25</v>
      </c>
      <c r="B208" s="14">
        <f t="shared" si="1"/>
        <v>45968</v>
      </c>
      <c r="C208" s="15" t="str">
        <f t="shared" si="2"/>
        <v>2025-11</v>
      </c>
      <c r="D208" s="15">
        <f t="shared" si="3"/>
        <v>11</v>
      </c>
      <c r="E208" s="15" t="str">
        <f t="shared" si="4"/>
        <v>listopada</v>
      </c>
      <c r="F208" s="15" t="str">
        <f t="shared" si="5"/>
        <v>Q4</v>
      </c>
      <c r="G208" s="15" t="str">
        <f t="shared" si="6"/>
        <v>Autumn</v>
      </c>
      <c r="H208" s="16">
        <f>weather_data!E208-weather_data!D208</f>
        <v>-1.1</v>
      </c>
      <c r="I208" s="15">
        <f>IF(OR(weather_data!H208="light rain",weather_data!H208="moderate rain",weather_data!H208="drizzle",weather_data!H208="thunderstorm"),1,0)</f>
        <v>0</v>
      </c>
      <c r="J208" s="15">
        <f>IF(weather_data!I208&gt;=25,1,0)</f>
        <v>0</v>
      </c>
    </row>
    <row r="209" ht="15.75" customHeight="1">
      <c r="A209" s="13">
        <f>weather_data!B209</f>
        <v>45970.63194</v>
      </c>
      <c r="B209" s="14">
        <f t="shared" si="1"/>
        <v>45970</v>
      </c>
      <c r="C209" s="15" t="str">
        <f t="shared" si="2"/>
        <v>2025-11</v>
      </c>
      <c r="D209" s="15">
        <f t="shared" si="3"/>
        <v>11</v>
      </c>
      <c r="E209" s="15" t="str">
        <f t="shared" si="4"/>
        <v>listopada</v>
      </c>
      <c r="F209" s="15" t="str">
        <f t="shared" si="5"/>
        <v>Q4</v>
      </c>
      <c r="G209" s="15" t="str">
        <f t="shared" si="6"/>
        <v>Autumn</v>
      </c>
      <c r="H209" s="16">
        <f>weather_data!E209-weather_data!D209</f>
        <v>1</v>
      </c>
      <c r="I209" s="15">
        <f>IF(OR(weather_data!H209="light rain",weather_data!H209="moderate rain",weather_data!H209="drizzle",weather_data!H209="thunderstorm"),1,0)</f>
        <v>0</v>
      </c>
      <c r="J209" s="15">
        <f>IF(weather_data!I209&gt;=25,1,0)</f>
        <v>0</v>
      </c>
    </row>
    <row r="210" ht="15.75" customHeight="1">
      <c r="A210" s="13">
        <f>weather_data!B210</f>
        <v>45971.78472</v>
      </c>
      <c r="B210" s="14">
        <f t="shared" si="1"/>
        <v>45971</v>
      </c>
      <c r="C210" s="15" t="str">
        <f t="shared" si="2"/>
        <v>2025-11</v>
      </c>
      <c r="D210" s="15">
        <f t="shared" si="3"/>
        <v>11</v>
      </c>
      <c r="E210" s="15" t="str">
        <f t="shared" si="4"/>
        <v>listopada</v>
      </c>
      <c r="F210" s="15" t="str">
        <f t="shared" si="5"/>
        <v>Q4</v>
      </c>
      <c r="G210" s="15" t="str">
        <f t="shared" si="6"/>
        <v>Autumn</v>
      </c>
      <c r="H210" s="16">
        <f>weather_data!E210-weather_data!D210</f>
        <v>0.2</v>
      </c>
      <c r="I210" s="15">
        <f>IF(OR(weather_data!H210="light rain",weather_data!H210="moderate rain",weather_data!H210="drizzle",weather_data!H210="thunderstorm"),1,0)</f>
        <v>1</v>
      </c>
      <c r="J210" s="15">
        <f>IF(weather_data!I210&gt;=25,1,0)</f>
        <v>0</v>
      </c>
    </row>
    <row r="211" ht="15.75" customHeight="1">
      <c r="A211" s="13">
        <f>weather_data!B211</f>
        <v>45972.55556</v>
      </c>
      <c r="B211" s="14">
        <f t="shared" si="1"/>
        <v>45972</v>
      </c>
      <c r="C211" s="15" t="str">
        <f t="shared" si="2"/>
        <v>2025-11</v>
      </c>
      <c r="D211" s="15">
        <f t="shared" si="3"/>
        <v>11</v>
      </c>
      <c r="E211" s="15" t="str">
        <f t="shared" si="4"/>
        <v>listopada</v>
      </c>
      <c r="F211" s="15" t="str">
        <f t="shared" si="5"/>
        <v>Q4</v>
      </c>
      <c r="G211" s="15" t="str">
        <f t="shared" si="6"/>
        <v>Autumn</v>
      </c>
      <c r="H211" s="16">
        <f>weather_data!E211-weather_data!D211</f>
        <v>0.3</v>
      </c>
      <c r="I211" s="15">
        <f>IF(OR(weather_data!H211="light rain",weather_data!H211="moderate rain",weather_data!H211="drizzle",weather_data!H211="thunderstorm"),1,0)</f>
        <v>1</v>
      </c>
      <c r="J211" s="15">
        <f>IF(weather_data!I211&gt;=25,1,0)</f>
        <v>0</v>
      </c>
    </row>
    <row r="212" ht="15.75" customHeight="1">
      <c r="A212" s="13">
        <f>weather_data!B212</f>
        <v>45973.72917</v>
      </c>
      <c r="B212" s="14">
        <f t="shared" si="1"/>
        <v>45973</v>
      </c>
      <c r="C212" s="15" t="str">
        <f t="shared" si="2"/>
        <v>2025-11</v>
      </c>
      <c r="D212" s="15">
        <f t="shared" si="3"/>
        <v>11</v>
      </c>
      <c r="E212" s="15" t="str">
        <f t="shared" si="4"/>
        <v>listopada</v>
      </c>
      <c r="F212" s="15" t="str">
        <f t="shared" si="5"/>
        <v>Q4</v>
      </c>
      <c r="G212" s="15" t="str">
        <f t="shared" si="6"/>
        <v>Autumn</v>
      </c>
      <c r="H212" s="16">
        <f>weather_data!E212-weather_data!D212</f>
        <v>-0.5</v>
      </c>
      <c r="I212" s="15">
        <f>IF(OR(weather_data!H212="light rain",weather_data!H212="moderate rain",weather_data!H212="drizzle",weather_data!H212="thunderstorm"),1,0)</f>
        <v>0</v>
      </c>
      <c r="J212" s="15">
        <f>IF(weather_data!I212&gt;=25,1,0)</f>
        <v>0</v>
      </c>
    </row>
    <row r="213" ht="15.75" customHeight="1">
      <c r="A213" s="13">
        <f>weather_data!B213</f>
        <v>45974.72917</v>
      </c>
      <c r="B213" s="14">
        <f t="shared" si="1"/>
        <v>45974</v>
      </c>
      <c r="C213" s="15" t="str">
        <f t="shared" si="2"/>
        <v>2025-11</v>
      </c>
      <c r="D213" s="15">
        <f t="shared" si="3"/>
        <v>11</v>
      </c>
      <c r="E213" s="15" t="str">
        <f t="shared" si="4"/>
        <v>listopada</v>
      </c>
      <c r="F213" s="15" t="str">
        <f t="shared" si="5"/>
        <v>Q4</v>
      </c>
      <c r="G213" s="15" t="str">
        <f t="shared" si="6"/>
        <v>Autumn</v>
      </c>
      <c r="H213" s="16">
        <f>weather_data!E213-weather_data!D213</f>
        <v>-1</v>
      </c>
      <c r="I213" s="15">
        <f>IF(OR(weather_data!H213="light rain",weather_data!H213="moderate rain",weather_data!H213="drizzle",weather_data!H213="thunderstorm"),1,0)</f>
        <v>0</v>
      </c>
      <c r="J213" s="15">
        <f>IF(weather_data!I213&gt;=25,1,0)</f>
        <v>0</v>
      </c>
    </row>
    <row r="214" ht="15.75" customHeight="1">
      <c r="A214" s="13">
        <f>weather_data!B214</f>
        <v>45975.68056</v>
      </c>
      <c r="B214" s="14">
        <f t="shared" si="1"/>
        <v>45975</v>
      </c>
      <c r="C214" s="15" t="str">
        <f t="shared" si="2"/>
        <v>2025-11</v>
      </c>
      <c r="D214" s="15">
        <f t="shared" si="3"/>
        <v>11</v>
      </c>
      <c r="E214" s="15" t="str">
        <f t="shared" si="4"/>
        <v>listopada</v>
      </c>
      <c r="F214" s="15" t="str">
        <f t="shared" si="5"/>
        <v>Q4</v>
      </c>
      <c r="G214" s="15" t="str">
        <f t="shared" si="6"/>
        <v>Autumn</v>
      </c>
      <c r="H214" s="16">
        <f>weather_data!E214-weather_data!D214</f>
        <v>-0.5</v>
      </c>
      <c r="I214" s="15">
        <f>IF(OR(weather_data!H214="light rain",weather_data!H214="moderate rain",weather_data!H214="drizzle",weather_data!H214="thunderstorm"),1,0)</f>
        <v>0</v>
      </c>
      <c r="J214" s="15">
        <f>IF(weather_data!I214&gt;=25,1,0)</f>
        <v>0</v>
      </c>
    </row>
    <row r="215" ht="15.75" customHeight="1">
      <c r="A215" s="13">
        <f>weather_data!B215</f>
        <v>45976.84722</v>
      </c>
      <c r="B215" s="14">
        <f t="shared" si="1"/>
        <v>45976</v>
      </c>
      <c r="C215" s="15" t="str">
        <f t="shared" si="2"/>
        <v>2025-11</v>
      </c>
      <c r="D215" s="15">
        <f t="shared" si="3"/>
        <v>11</v>
      </c>
      <c r="E215" s="15" t="str">
        <f t="shared" si="4"/>
        <v>listopada</v>
      </c>
      <c r="F215" s="15" t="str">
        <f t="shared" si="5"/>
        <v>Q4</v>
      </c>
      <c r="G215" s="15" t="str">
        <f t="shared" si="6"/>
        <v>Autumn</v>
      </c>
      <c r="H215" s="16">
        <f>weather_data!E215-weather_data!D215</f>
        <v>-0.9</v>
      </c>
      <c r="I215" s="15">
        <f>IF(OR(weather_data!H215="light rain",weather_data!H215="moderate rain",weather_data!H215="drizzle",weather_data!H215="thunderstorm"),1,0)</f>
        <v>1</v>
      </c>
      <c r="J215" s="15">
        <f>IF(weather_data!I215&gt;=25,1,0)</f>
        <v>1</v>
      </c>
    </row>
    <row r="216" ht="15.75" customHeight="1">
      <c r="A216" s="13">
        <f>weather_data!B216</f>
        <v>45977.63889</v>
      </c>
      <c r="B216" s="14">
        <f t="shared" si="1"/>
        <v>45977</v>
      </c>
      <c r="C216" s="15" t="str">
        <f t="shared" si="2"/>
        <v>2025-11</v>
      </c>
      <c r="D216" s="15">
        <f t="shared" si="3"/>
        <v>11</v>
      </c>
      <c r="E216" s="15" t="str">
        <f t="shared" si="4"/>
        <v>listopada</v>
      </c>
      <c r="F216" s="15" t="str">
        <f t="shared" si="5"/>
        <v>Q4</v>
      </c>
      <c r="G216" s="15" t="str">
        <f t="shared" si="6"/>
        <v>Autumn</v>
      </c>
      <c r="H216" s="16">
        <f>weather_data!E216-weather_data!D216</f>
        <v>1</v>
      </c>
      <c r="I216" s="15">
        <f>IF(OR(weather_data!H216="light rain",weather_data!H216="moderate rain",weather_data!H216="drizzle",weather_data!H216="thunderstorm"),1,0)</f>
        <v>0</v>
      </c>
      <c r="J216" s="15">
        <f>IF(weather_data!I216&gt;=25,1,0)</f>
        <v>0</v>
      </c>
    </row>
    <row r="217" ht="15.75" customHeight="1">
      <c r="A217" s="13">
        <f>weather_data!B217</f>
        <v>45978.54167</v>
      </c>
      <c r="B217" s="14">
        <f t="shared" si="1"/>
        <v>45978</v>
      </c>
      <c r="C217" s="15" t="str">
        <f t="shared" si="2"/>
        <v>2025-11</v>
      </c>
      <c r="D217" s="15">
        <f t="shared" si="3"/>
        <v>11</v>
      </c>
      <c r="E217" s="15" t="str">
        <f t="shared" si="4"/>
        <v>listopada</v>
      </c>
      <c r="F217" s="15" t="str">
        <f t="shared" si="5"/>
        <v>Q4</v>
      </c>
      <c r="G217" s="15" t="str">
        <f t="shared" si="6"/>
        <v>Autumn</v>
      </c>
      <c r="H217" s="16">
        <f>weather_data!E217-weather_data!D217</f>
        <v>1.1</v>
      </c>
      <c r="I217" s="15">
        <f>IF(OR(weather_data!H217="light rain",weather_data!H217="moderate rain",weather_data!H217="drizzle",weather_data!H217="thunderstorm"),1,0)</f>
        <v>1</v>
      </c>
      <c r="J217" s="15">
        <f>IF(weather_data!I217&gt;=25,1,0)</f>
        <v>0</v>
      </c>
    </row>
    <row r="218" ht="15.75" customHeight="1">
      <c r="A218" s="13">
        <f>weather_data!B218</f>
        <v>45979.51389</v>
      </c>
      <c r="B218" s="14">
        <f t="shared" si="1"/>
        <v>45979</v>
      </c>
      <c r="C218" s="15" t="str">
        <f t="shared" si="2"/>
        <v>2025-11</v>
      </c>
      <c r="D218" s="15">
        <f t="shared" si="3"/>
        <v>11</v>
      </c>
      <c r="E218" s="15" t="str">
        <f t="shared" si="4"/>
        <v>listopada</v>
      </c>
      <c r="F218" s="15" t="str">
        <f t="shared" si="5"/>
        <v>Q4</v>
      </c>
      <c r="G218" s="15" t="str">
        <f t="shared" si="6"/>
        <v>Autumn</v>
      </c>
      <c r="H218" s="16">
        <f>weather_data!E218-weather_data!D218</f>
        <v>-1.5</v>
      </c>
      <c r="I218" s="15">
        <f>IF(OR(weather_data!H218="light rain",weather_data!H218="moderate rain",weather_data!H218="drizzle",weather_data!H218="thunderstorm"),1,0)</f>
        <v>1</v>
      </c>
      <c r="J218" s="15">
        <f>IF(weather_data!I218&gt;=25,1,0)</f>
        <v>0</v>
      </c>
    </row>
    <row r="219" ht="15.75" customHeight="1">
      <c r="A219" s="13">
        <f>weather_data!B219</f>
        <v>45980.40972</v>
      </c>
      <c r="B219" s="14">
        <f t="shared" si="1"/>
        <v>45980</v>
      </c>
      <c r="C219" s="15" t="str">
        <f t="shared" si="2"/>
        <v>2025-11</v>
      </c>
      <c r="D219" s="15">
        <f t="shared" si="3"/>
        <v>11</v>
      </c>
      <c r="E219" s="15" t="str">
        <f t="shared" si="4"/>
        <v>listopada</v>
      </c>
      <c r="F219" s="15" t="str">
        <f t="shared" si="5"/>
        <v>Q4</v>
      </c>
      <c r="G219" s="15" t="str">
        <f t="shared" si="6"/>
        <v>Autumn</v>
      </c>
      <c r="H219" s="16">
        <f>weather_data!E219-weather_data!D219</f>
        <v>0.1</v>
      </c>
      <c r="I219" s="15">
        <f>IF(OR(weather_data!H219="light rain",weather_data!H219="moderate rain",weather_data!H219="drizzle",weather_data!H219="thunderstorm"),1,0)</f>
        <v>0</v>
      </c>
      <c r="J219" s="15">
        <f>IF(weather_data!I219&gt;=25,1,0)</f>
        <v>0</v>
      </c>
    </row>
    <row r="220" ht="15.75" customHeight="1">
      <c r="A220" s="13">
        <f>weather_data!B220</f>
        <v>45981.46528</v>
      </c>
      <c r="B220" s="14">
        <f t="shared" si="1"/>
        <v>45981</v>
      </c>
      <c r="C220" s="15" t="str">
        <f t="shared" si="2"/>
        <v>2025-11</v>
      </c>
      <c r="D220" s="15">
        <f t="shared" si="3"/>
        <v>11</v>
      </c>
      <c r="E220" s="15" t="str">
        <f t="shared" si="4"/>
        <v>listopada</v>
      </c>
      <c r="F220" s="15" t="str">
        <f t="shared" si="5"/>
        <v>Q4</v>
      </c>
      <c r="G220" s="15" t="str">
        <f t="shared" si="6"/>
        <v>Autumn</v>
      </c>
      <c r="H220" s="16">
        <f>weather_data!E220-weather_data!D220</f>
        <v>0.5</v>
      </c>
      <c r="I220" s="15">
        <f>IF(OR(weather_data!H220="light rain",weather_data!H220="moderate rain",weather_data!H220="drizzle",weather_data!H220="thunderstorm"),1,0)</f>
        <v>0</v>
      </c>
      <c r="J220" s="15">
        <f>IF(weather_data!I220&gt;=25,1,0)</f>
        <v>0</v>
      </c>
    </row>
    <row r="221" ht="15.75" customHeight="1">
      <c r="A221" s="13">
        <f>weather_data!B221</f>
        <v>45982.53472</v>
      </c>
      <c r="B221" s="14">
        <f t="shared" si="1"/>
        <v>45982</v>
      </c>
      <c r="C221" s="15" t="str">
        <f t="shared" si="2"/>
        <v>2025-11</v>
      </c>
      <c r="D221" s="15">
        <f t="shared" si="3"/>
        <v>11</v>
      </c>
      <c r="E221" s="15" t="str">
        <f t="shared" si="4"/>
        <v>listopada</v>
      </c>
      <c r="F221" s="15" t="str">
        <f t="shared" si="5"/>
        <v>Q4</v>
      </c>
      <c r="G221" s="15" t="str">
        <f t="shared" si="6"/>
        <v>Autumn</v>
      </c>
      <c r="H221" s="16">
        <f>weather_data!E221-weather_data!D221</f>
        <v>0</v>
      </c>
      <c r="I221" s="15">
        <f>IF(OR(weather_data!H221="light rain",weather_data!H221="moderate rain",weather_data!H221="drizzle",weather_data!H221="thunderstorm"),1,0)</f>
        <v>1</v>
      </c>
      <c r="J221" s="15">
        <f>IF(weather_data!I221&gt;=25,1,0)</f>
        <v>0</v>
      </c>
    </row>
    <row r="222" ht="15.75" customHeight="1">
      <c r="A222" s="13">
        <f>weather_data!B222</f>
        <v>45983.88889</v>
      </c>
      <c r="B222" s="14">
        <f t="shared" si="1"/>
        <v>45983</v>
      </c>
      <c r="C222" s="15" t="str">
        <f t="shared" si="2"/>
        <v>2025-11</v>
      </c>
      <c r="D222" s="15">
        <f t="shared" si="3"/>
        <v>11</v>
      </c>
      <c r="E222" s="15" t="str">
        <f t="shared" si="4"/>
        <v>listopada</v>
      </c>
      <c r="F222" s="15" t="str">
        <f t="shared" si="5"/>
        <v>Q4</v>
      </c>
      <c r="G222" s="15" t="str">
        <f t="shared" si="6"/>
        <v>Autumn</v>
      </c>
      <c r="H222" s="16">
        <f>weather_data!E222-weather_data!D222</f>
        <v>0.2</v>
      </c>
      <c r="I222" s="15">
        <f>IF(OR(weather_data!H222="light rain",weather_data!H222="moderate rain",weather_data!H222="drizzle",weather_data!H222="thunderstorm"),1,0)</f>
        <v>0</v>
      </c>
      <c r="J222" s="15">
        <f>IF(weather_data!I222&gt;=25,1,0)</f>
        <v>0</v>
      </c>
    </row>
    <row r="223" ht="15.75" customHeight="1">
      <c r="A223" s="13">
        <f>weather_data!B223</f>
        <v>45984.625</v>
      </c>
      <c r="B223" s="14">
        <f t="shared" si="1"/>
        <v>45984</v>
      </c>
      <c r="C223" s="15" t="str">
        <f t="shared" si="2"/>
        <v>2025-11</v>
      </c>
      <c r="D223" s="15">
        <f t="shared" si="3"/>
        <v>11</v>
      </c>
      <c r="E223" s="15" t="str">
        <f t="shared" si="4"/>
        <v>listopada</v>
      </c>
      <c r="F223" s="15" t="str">
        <f t="shared" si="5"/>
        <v>Q4</v>
      </c>
      <c r="G223" s="15" t="str">
        <f t="shared" si="6"/>
        <v>Autumn</v>
      </c>
      <c r="H223" s="16">
        <f>weather_data!E223-weather_data!D223</f>
        <v>-0.4</v>
      </c>
      <c r="I223" s="15">
        <f>IF(OR(weather_data!H223="light rain",weather_data!H223="moderate rain",weather_data!H223="drizzle",weather_data!H223="thunderstorm"),1,0)</f>
        <v>0</v>
      </c>
      <c r="J223" s="15">
        <f>IF(weather_data!I223&gt;=25,1,0)</f>
        <v>0</v>
      </c>
    </row>
    <row r="224" ht="15.75" customHeight="1">
      <c r="A224" s="13">
        <f>weather_data!B224</f>
        <v>45985.51389</v>
      </c>
      <c r="B224" s="14">
        <f t="shared" si="1"/>
        <v>45985</v>
      </c>
      <c r="C224" s="15" t="str">
        <f t="shared" si="2"/>
        <v>2025-11</v>
      </c>
      <c r="D224" s="15">
        <f t="shared" si="3"/>
        <v>11</v>
      </c>
      <c r="E224" s="15" t="str">
        <f t="shared" si="4"/>
        <v>listopada</v>
      </c>
      <c r="F224" s="15" t="str">
        <f t="shared" si="5"/>
        <v>Q4</v>
      </c>
      <c r="G224" s="15" t="str">
        <f t="shared" si="6"/>
        <v>Autumn</v>
      </c>
      <c r="H224" s="16">
        <f>weather_data!E224-weather_data!D224</f>
        <v>1.2</v>
      </c>
      <c r="I224" s="15">
        <f>IF(OR(weather_data!H224="light rain",weather_data!H224="moderate rain",weather_data!H224="drizzle",weather_data!H224="thunderstorm"),1,0)</f>
        <v>0</v>
      </c>
      <c r="J224" s="15">
        <f>IF(weather_data!I224&gt;=25,1,0)</f>
        <v>0</v>
      </c>
    </row>
    <row r="225" ht="15.75" customHeight="1">
      <c r="A225" s="13">
        <f>weather_data!B225</f>
        <v>45986.55556</v>
      </c>
      <c r="B225" s="14">
        <f t="shared" si="1"/>
        <v>45986</v>
      </c>
      <c r="C225" s="15" t="str">
        <f t="shared" si="2"/>
        <v>2025-11</v>
      </c>
      <c r="D225" s="15">
        <f t="shared" si="3"/>
        <v>11</v>
      </c>
      <c r="E225" s="15" t="str">
        <f t="shared" si="4"/>
        <v>listopada</v>
      </c>
      <c r="F225" s="15" t="str">
        <f t="shared" si="5"/>
        <v>Q4</v>
      </c>
      <c r="G225" s="15" t="str">
        <f t="shared" si="6"/>
        <v>Autumn</v>
      </c>
      <c r="H225" s="16">
        <f>weather_data!E225-weather_data!D225</f>
        <v>-2.1</v>
      </c>
      <c r="I225" s="15">
        <f>IF(OR(weather_data!H225="light rain",weather_data!H225="moderate rain",weather_data!H225="drizzle",weather_data!H225="thunderstorm"),1,0)</f>
        <v>1</v>
      </c>
      <c r="J225" s="15">
        <f>IF(weather_data!I225&gt;=25,1,0)</f>
        <v>1</v>
      </c>
    </row>
    <row r="226" ht="15.75" customHeight="1">
      <c r="A226" s="13">
        <f>weather_data!B226</f>
        <v>45987.47222</v>
      </c>
      <c r="B226" s="14">
        <f t="shared" si="1"/>
        <v>45987</v>
      </c>
      <c r="C226" s="15" t="str">
        <f t="shared" si="2"/>
        <v>2025-11</v>
      </c>
      <c r="D226" s="15">
        <f t="shared" si="3"/>
        <v>11</v>
      </c>
      <c r="E226" s="15" t="str">
        <f t="shared" si="4"/>
        <v>listopada</v>
      </c>
      <c r="F226" s="15" t="str">
        <f t="shared" si="5"/>
        <v>Q4</v>
      </c>
      <c r="G226" s="15" t="str">
        <f t="shared" si="6"/>
        <v>Autumn</v>
      </c>
      <c r="H226" s="16">
        <f>weather_data!E226-weather_data!D226</f>
        <v>0.4</v>
      </c>
      <c r="I226" s="15">
        <f>IF(OR(weather_data!H226="light rain",weather_data!H226="moderate rain",weather_data!H226="drizzle",weather_data!H226="thunderstorm"),1,0)</f>
        <v>0</v>
      </c>
      <c r="J226" s="15">
        <f>IF(weather_data!I226&gt;=25,1,0)</f>
        <v>0</v>
      </c>
    </row>
    <row r="227" ht="15.75" customHeight="1">
      <c r="A227" s="13">
        <f>weather_data!B227</f>
        <v>45988.28472</v>
      </c>
      <c r="B227" s="14">
        <f t="shared" si="1"/>
        <v>45988</v>
      </c>
      <c r="C227" s="15" t="str">
        <f t="shared" si="2"/>
        <v>2025-11</v>
      </c>
      <c r="D227" s="15">
        <f t="shared" si="3"/>
        <v>11</v>
      </c>
      <c r="E227" s="15" t="str">
        <f t="shared" si="4"/>
        <v>listopada</v>
      </c>
      <c r="F227" s="15" t="str">
        <f t="shared" si="5"/>
        <v>Q4</v>
      </c>
      <c r="G227" s="15" t="str">
        <f t="shared" si="6"/>
        <v>Autumn</v>
      </c>
      <c r="H227" s="16">
        <f>weather_data!E227-weather_data!D227</f>
        <v>-0.8</v>
      </c>
      <c r="I227" s="15">
        <f>IF(OR(weather_data!H227="light rain",weather_data!H227="moderate rain",weather_data!H227="drizzle",weather_data!H227="thunderstorm"),1,0)</f>
        <v>0</v>
      </c>
      <c r="J227" s="15">
        <f>IF(weather_data!I227&gt;=25,1,0)</f>
        <v>0</v>
      </c>
    </row>
    <row r="228" ht="15.75" customHeight="1">
      <c r="A228" s="13">
        <f>weather_data!B228</f>
        <v>45989.43056</v>
      </c>
      <c r="B228" s="14">
        <f t="shared" si="1"/>
        <v>45989</v>
      </c>
      <c r="C228" s="15" t="str">
        <f t="shared" si="2"/>
        <v>2025-11</v>
      </c>
      <c r="D228" s="15">
        <f t="shared" si="3"/>
        <v>11</v>
      </c>
      <c r="E228" s="15" t="str">
        <f t="shared" si="4"/>
        <v>listopada</v>
      </c>
      <c r="F228" s="15" t="str">
        <f t="shared" si="5"/>
        <v>Q4</v>
      </c>
      <c r="G228" s="15" t="str">
        <f t="shared" si="6"/>
        <v>Autumn</v>
      </c>
      <c r="H228" s="16">
        <f>weather_data!E228-weather_data!D228</f>
        <v>-0.9</v>
      </c>
      <c r="I228" s="15">
        <f>IF(OR(weather_data!H228="light rain",weather_data!H228="moderate rain",weather_data!H228="drizzle",weather_data!H228="thunderstorm"),1,0)</f>
        <v>0</v>
      </c>
      <c r="J228" s="15">
        <f>IF(weather_data!I228&gt;=25,1,0)</f>
        <v>1</v>
      </c>
    </row>
    <row r="229" ht="15.75" customHeight="1">
      <c r="A229" s="13">
        <f>weather_data!B229</f>
        <v>45990.29167</v>
      </c>
      <c r="B229" s="14">
        <f t="shared" si="1"/>
        <v>45990</v>
      </c>
      <c r="C229" s="15" t="str">
        <f t="shared" si="2"/>
        <v>2025-11</v>
      </c>
      <c r="D229" s="15">
        <f t="shared" si="3"/>
        <v>11</v>
      </c>
      <c r="E229" s="15" t="str">
        <f t="shared" si="4"/>
        <v>listopada</v>
      </c>
      <c r="F229" s="15" t="str">
        <f t="shared" si="5"/>
        <v>Q4</v>
      </c>
      <c r="G229" s="15" t="str">
        <f t="shared" si="6"/>
        <v>Autumn</v>
      </c>
      <c r="H229" s="16">
        <f>weather_data!E229-weather_data!D229</f>
        <v>0.4</v>
      </c>
      <c r="I229" s="15">
        <f>IF(OR(weather_data!H229="light rain",weather_data!H229="moderate rain",weather_data!H229="drizzle",weather_data!H229="thunderstorm"),1,0)</f>
        <v>1</v>
      </c>
      <c r="J229" s="15">
        <f>IF(weather_data!I229&gt;=25,1,0)</f>
        <v>0</v>
      </c>
    </row>
    <row r="230" ht="15.75" customHeight="1">
      <c r="A230" s="13">
        <f>weather_data!B230</f>
        <v>45991.65972</v>
      </c>
      <c r="B230" s="14">
        <f t="shared" si="1"/>
        <v>45991</v>
      </c>
      <c r="C230" s="15" t="str">
        <f t="shared" si="2"/>
        <v>2025-11</v>
      </c>
      <c r="D230" s="15">
        <f t="shared" si="3"/>
        <v>11</v>
      </c>
      <c r="E230" s="15" t="str">
        <f t="shared" si="4"/>
        <v>listopada</v>
      </c>
      <c r="F230" s="15" t="str">
        <f t="shared" si="5"/>
        <v>Q4</v>
      </c>
      <c r="G230" s="15" t="str">
        <f t="shared" si="6"/>
        <v>Autumn</v>
      </c>
      <c r="H230" s="16">
        <f>weather_data!E230-weather_data!D230</f>
        <v>1.1</v>
      </c>
      <c r="I230" s="15">
        <f>IF(OR(weather_data!H230="light rain",weather_data!H230="moderate rain",weather_data!H230="drizzle",weather_data!H230="thunderstorm"),1,0)</f>
        <v>0</v>
      </c>
      <c r="J230" s="15">
        <f>IF(weather_data!I230&gt;=25,1,0)</f>
        <v>0</v>
      </c>
    </row>
    <row r="231" ht="15.75" customHeight="1">
      <c r="A231" s="13">
        <f>weather_data!B231</f>
        <v>45992.45139</v>
      </c>
      <c r="B231" s="14">
        <f t="shared" si="1"/>
        <v>45992</v>
      </c>
      <c r="C231" s="15" t="str">
        <f t="shared" si="2"/>
        <v>2025-12</v>
      </c>
      <c r="D231" s="15">
        <f t="shared" si="3"/>
        <v>12</v>
      </c>
      <c r="E231" s="15" t="str">
        <f t="shared" si="4"/>
        <v>grudnia</v>
      </c>
      <c r="F231" s="15" t="str">
        <f t="shared" si="5"/>
        <v>Q4</v>
      </c>
      <c r="G231" s="15" t="str">
        <f t="shared" si="6"/>
        <v>Winter</v>
      </c>
      <c r="H231" s="16">
        <f>weather_data!E231-weather_data!D231</f>
        <v>0</v>
      </c>
      <c r="I231" s="15">
        <f>IF(OR(weather_data!H231="light rain",weather_data!H231="moderate rain",weather_data!H231="drizzle",weather_data!H231="thunderstorm"),1,0)</f>
        <v>0</v>
      </c>
      <c r="J231" s="15">
        <f>IF(weather_data!I231&gt;=25,1,0)</f>
        <v>1</v>
      </c>
    </row>
    <row r="232" ht="15.75" customHeight="1">
      <c r="A232" s="13">
        <f>weather_data!B232</f>
        <v>45993.875</v>
      </c>
      <c r="B232" s="14">
        <f t="shared" si="1"/>
        <v>45993</v>
      </c>
      <c r="C232" s="15" t="str">
        <f t="shared" si="2"/>
        <v>2025-12</v>
      </c>
      <c r="D232" s="15">
        <f t="shared" si="3"/>
        <v>12</v>
      </c>
      <c r="E232" s="15" t="str">
        <f t="shared" si="4"/>
        <v>grudnia</v>
      </c>
      <c r="F232" s="15" t="str">
        <f t="shared" si="5"/>
        <v>Q4</v>
      </c>
      <c r="G232" s="15" t="str">
        <f t="shared" si="6"/>
        <v>Winter</v>
      </c>
      <c r="H232" s="16">
        <f>weather_data!E232-weather_data!D232</f>
        <v>0.2</v>
      </c>
      <c r="I232" s="15">
        <f>IF(OR(weather_data!H232="light rain",weather_data!H232="moderate rain",weather_data!H232="drizzle",weather_data!H232="thunderstorm"),1,0)</f>
        <v>0</v>
      </c>
      <c r="J232" s="15">
        <f>IF(weather_data!I232&gt;=25,1,0)</f>
        <v>0</v>
      </c>
    </row>
    <row r="233" ht="15.75" customHeight="1">
      <c r="A233" s="13">
        <f>weather_data!B233</f>
        <v>45994.27778</v>
      </c>
      <c r="B233" s="14">
        <f t="shared" si="1"/>
        <v>45994</v>
      </c>
      <c r="C233" s="15" t="str">
        <f t="shared" si="2"/>
        <v>2025-12</v>
      </c>
      <c r="D233" s="15">
        <f t="shared" si="3"/>
        <v>12</v>
      </c>
      <c r="E233" s="15" t="str">
        <f t="shared" si="4"/>
        <v>grudnia</v>
      </c>
      <c r="F233" s="15" t="str">
        <f t="shared" si="5"/>
        <v>Q4</v>
      </c>
      <c r="G233" s="15" t="str">
        <f t="shared" si="6"/>
        <v>Winter</v>
      </c>
      <c r="H233" s="16">
        <f>weather_data!E233-weather_data!D233</f>
        <v>1.1</v>
      </c>
      <c r="I233" s="15">
        <f>IF(OR(weather_data!H233="light rain",weather_data!H233="moderate rain",weather_data!H233="drizzle",weather_data!H233="thunderstorm"),1,0)</f>
        <v>0</v>
      </c>
      <c r="J233" s="15">
        <f>IF(weather_data!I233&gt;=25,1,0)</f>
        <v>0</v>
      </c>
    </row>
    <row r="234" ht="15.75" customHeight="1">
      <c r="A234" s="13">
        <f>weather_data!B234</f>
        <v>45995.64583</v>
      </c>
      <c r="B234" s="14">
        <f t="shared" si="1"/>
        <v>45995</v>
      </c>
      <c r="C234" s="15" t="str">
        <f t="shared" si="2"/>
        <v>2025-12</v>
      </c>
      <c r="D234" s="15">
        <f t="shared" si="3"/>
        <v>12</v>
      </c>
      <c r="E234" s="15" t="str">
        <f t="shared" si="4"/>
        <v>grudnia</v>
      </c>
      <c r="F234" s="15" t="str">
        <f t="shared" si="5"/>
        <v>Q4</v>
      </c>
      <c r="G234" s="15" t="str">
        <f t="shared" si="6"/>
        <v>Winter</v>
      </c>
      <c r="H234" s="16">
        <f>weather_data!E234-weather_data!D234</f>
        <v>0.3</v>
      </c>
      <c r="I234" s="15">
        <f>IF(OR(weather_data!H234="light rain",weather_data!H234="moderate rain",weather_data!H234="drizzle",weather_data!H234="thunderstorm"),1,0)</f>
        <v>1</v>
      </c>
      <c r="J234" s="15">
        <f>IF(weather_data!I234&gt;=25,1,0)</f>
        <v>0</v>
      </c>
    </row>
    <row r="235" ht="15.75" customHeight="1">
      <c r="A235" s="13">
        <f>weather_data!B235</f>
        <v>45996.89583</v>
      </c>
      <c r="B235" s="14">
        <f t="shared" si="1"/>
        <v>45996</v>
      </c>
      <c r="C235" s="15" t="str">
        <f t="shared" si="2"/>
        <v>2025-12</v>
      </c>
      <c r="D235" s="15">
        <f t="shared" si="3"/>
        <v>12</v>
      </c>
      <c r="E235" s="15" t="str">
        <f t="shared" si="4"/>
        <v>grudnia</v>
      </c>
      <c r="F235" s="15" t="str">
        <f t="shared" si="5"/>
        <v>Q4</v>
      </c>
      <c r="G235" s="15" t="str">
        <f t="shared" si="6"/>
        <v>Winter</v>
      </c>
      <c r="H235" s="16">
        <f>weather_data!E235-weather_data!D235</f>
        <v>0.5</v>
      </c>
      <c r="I235" s="15">
        <f>IF(OR(weather_data!H235="light rain",weather_data!H235="moderate rain",weather_data!H235="drizzle",weather_data!H235="thunderstorm"),1,0)</f>
        <v>0</v>
      </c>
      <c r="J235" s="15">
        <f>IF(weather_data!I235&gt;=25,1,0)</f>
        <v>0</v>
      </c>
    </row>
    <row r="236" ht="15.75" customHeight="1">
      <c r="A236" s="13">
        <f>weather_data!B236</f>
        <v>45997.67361</v>
      </c>
      <c r="B236" s="14">
        <f t="shared" si="1"/>
        <v>45997</v>
      </c>
      <c r="C236" s="15" t="str">
        <f t="shared" si="2"/>
        <v>2025-12</v>
      </c>
      <c r="D236" s="15">
        <f t="shared" si="3"/>
        <v>12</v>
      </c>
      <c r="E236" s="15" t="str">
        <f t="shared" si="4"/>
        <v>grudnia</v>
      </c>
      <c r="F236" s="15" t="str">
        <f t="shared" si="5"/>
        <v>Q4</v>
      </c>
      <c r="G236" s="15" t="str">
        <f t="shared" si="6"/>
        <v>Winter</v>
      </c>
      <c r="H236" s="16">
        <f>weather_data!E236-weather_data!D236</f>
        <v>0.9</v>
      </c>
      <c r="I236" s="15">
        <f>IF(OR(weather_data!H236="light rain",weather_data!H236="moderate rain",weather_data!H236="drizzle",weather_data!H236="thunderstorm"),1,0)</f>
        <v>0</v>
      </c>
      <c r="J236" s="15">
        <f>IF(weather_data!I236&gt;=25,1,0)</f>
        <v>0</v>
      </c>
    </row>
    <row r="237" ht="15.75" customHeight="1">
      <c r="A237" s="13">
        <f>weather_data!B237</f>
        <v>45999.30556</v>
      </c>
      <c r="B237" s="14">
        <f t="shared" si="1"/>
        <v>45999</v>
      </c>
      <c r="C237" s="15" t="str">
        <f t="shared" si="2"/>
        <v>2025-12</v>
      </c>
      <c r="D237" s="15">
        <f t="shared" si="3"/>
        <v>12</v>
      </c>
      <c r="E237" s="15" t="str">
        <f t="shared" si="4"/>
        <v>grudnia</v>
      </c>
      <c r="F237" s="15" t="str">
        <f t="shared" si="5"/>
        <v>Q4</v>
      </c>
      <c r="G237" s="15" t="str">
        <f t="shared" si="6"/>
        <v>Winter</v>
      </c>
      <c r="H237" s="16">
        <f>weather_data!E237-weather_data!D237</f>
        <v>0.2</v>
      </c>
      <c r="I237" s="15">
        <f>IF(OR(weather_data!H237="light rain",weather_data!H237="moderate rain",weather_data!H237="drizzle",weather_data!H237="thunderstorm"),1,0)</f>
        <v>0</v>
      </c>
      <c r="J237" s="15">
        <f>IF(weather_data!I237&gt;=25,1,0)</f>
        <v>0</v>
      </c>
    </row>
    <row r="238" ht="15.75" customHeight="1">
      <c r="A238" s="13">
        <f>weather_data!B238</f>
        <v>46000.875</v>
      </c>
      <c r="B238" s="14">
        <f t="shared" si="1"/>
        <v>46000</v>
      </c>
      <c r="C238" s="15" t="str">
        <f t="shared" si="2"/>
        <v>2025-12</v>
      </c>
      <c r="D238" s="15">
        <f t="shared" si="3"/>
        <v>12</v>
      </c>
      <c r="E238" s="15" t="str">
        <f t="shared" si="4"/>
        <v>grudnia</v>
      </c>
      <c r="F238" s="15" t="str">
        <f t="shared" si="5"/>
        <v>Q4</v>
      </c>
      <c r="G238" s="15" t="str">
        <f t="shared" si="6"/>
        <v>Winter</v>
      </c>
      <c r="H238" s="16">
        <f>weather_data!E238-weather_data!D238</f>
        <v>0.7</v>
      </c>
      <c r="I238" s="15">
        <f>IF(OR(weather_data!H238="light rain",weather_data!H238="moderate rain",weather_data!H238="drizzle",weather_data!H238="thunderstorm"),1,0)</f>
        <v>1</v>
      </c>
      <c r="J238" s="15">
        <f>IF(weather_data!I238&gt;=25,1,0)</f>
        <v>0</v>
      </c>
    </row>
    <row r="239" ht="15.75" customHeight="1">
      <c r="A239" s="13">
        <f>weather_data!B239</f>
        <v>46001.35417</v>
      </c>
      <c r="B239" s="14">
        <f t="shared" si="1"/>
        <v>46001</v>
      </c>
      <c r="C239" s="15" t="str">
        <f t="shared" si="2"/>
        <v>2025-12</v>
      </c>
      <c r="D239" s="15">
        <f t="shared" si="3"/>
        <v>12</v>
      </c>
      <c r="E239" s="15" t="str">
        <f t="shared" si="4"/>
        <v>grudnia</v>
      </c>
      <c r="F239" s="15" t="str">
        <f t="shared" si="5"/>
        <v>Q4</v>
      </c>
      <c r="G239" s="15" t="str">
        <f t="shared" si="6"/>
        <v>Winter</v>
      </c>
      <c r="H239" s="16">
        <f>weather_data!E239-weather_data!D239</f>
        <v>-2.1</v>
      </c>
      <c r="I239" s="15">
        <f>IF(OR(weather_data!H239="light rain",weather_data!H239="moderate rain",weather_data!H239="drizzle",weather_data!H239="thunderstorm"),1,0)</f>
        <v>1</v>
      </c>
      <c r="J239" s="15">
        <f>IF(weather_data!I239&gt;=25,1,0)</f>
        <v>1</v>
      </c>
    </row>
    <row r="240" ht="15.75" customHeight="1">
      <c r="A240" s="13">
        <f>weather_data!B240</f>
        <v>46002.875</v>
      </c>
      <c r="B240" s="14">
        <f t="shared" si="1"/>
        <v>46002</v>
      </c>
      <c r="C240" s="15" t="str">
        <f t="shared" si="2"/>
        <v>2025-12</v>
      </c>
      <c r="D240" s="15">
        <f t="shared" si="3"/>
        <v>12</v>
      </c>
      <c r="E240" s="15" t="str">
        <f t="shared" si="4"/>
        <v>grudnia</v>
      </c>
      <c r="F240" s="15" t="str">
        <f t="shared" si="5"/>
        <v>Q4</v>
      </c>
      <c r="G240" s="15" t="str">
        <f t="shared" si="6"/>
        <v>Winter</v>
      </c>
      <c r="H240" s="16">
        <f>weather_data!E240-weather_data!D240</f>
        <v>-0.5</v>
      </c>
      <c r="I240" s="15">
        <f>IF(OR(weather_data!H240="light rain",weather_data!H240="moderate rain",weather_data!H240="drizzle",weather_data!H240="thunderstorm"),1,0)</f>
        <v>0</v>
      </c>
      <c r="J240" s="15">
        <f>IF(weather_data!I240&gt;=25,1,0)</f>
        <v>0</v>
      </c>
    </row>
    <row r="241" ht="15.75" customHeight="1">
      <c r="A241" s="13">
        <f>weather_data!B241</f>
        <v>46003.29861</v>
      </c>
      <c r="B241" s="14">
        <f t="shared" si="1"/>
        <v>46003</v>
      </c>
      <c r="C241" s="15" t="str">
        <f t="shared" si="2"/>
        <v>2025-12</v>
      </c>
      <c r="D241" s="15">
        <f t="shared" si="3"/>
        <v>12</v>
      </c>
      <c r="E241" s="15" t="str">
        <f t="shared" si="4"/>
        <v>grudnia</v>
      </c>
      <c r="F241" s="15" t="str">
        <f t="shared" si="5"/>
        <v>Q4</v>
      </c>
      <c r="G241" s="15" t="str">
        <f t="shared" si="6"/>
        <v>Winter</v>
      </c>
      <c r="H241" s="16">
        <f>weather_data!E241-weather_data!D241</f>
        <v>-0.5</v>
      </c>
      <c r="I241" s="15">
        <f>IF(OR(weather_data!H241="light rain",weather_data!H241="moderate rain",weather_data!H241="drizzle",weather_data!H241="thunderstorm"),1,0)</f>
        <v>0</v>
      </c>
      <c r="J241" s="15">
        <f>IF(weather_data!I241&gt;=25,1,0)</f>
        <v>0</v>
      </c>
    </row>
    <row r="242" ht="15.75" customHeight="1">
      <c r="A242" s="13">
        <f>weather_data!B242</f>
        <v>46004.44444</v>
      </c>
      <c r="B242" s="14">
        <f t="shared" si="1"/>
        <v>46004</v>
      </c>
      <c r="C242" s="15" t="str">
        <f t="shared" si="2"/>
        <v>2025-12</v>
      </c>
      <c r="D242" s="15">
        <f t="shared" si="3"/>
        <v>12</v>
      </c>
      <c r="E242" s="15" t="str">
        <f t="shared" si="4"/>
        <v>grudnia</v>
      </c>
      <c r="F242" s="15" t="str">
        <f t="shared" si="5"/>
        <v>Q4</v>
      </c>
      <c r="G242" s="15" t="str">
        <f t="shared" si="6"/>
        <v>Winter</v>
      </c>
      <c r="H242" s="16">
        <f>weather_data!E242-weather_data!D242</f>
        <v>-1.3</v>
      </c>
      <c r="I242" s="15">
        <f>IF(OR(weather_data!H242="light rain",weather_data!H242="moderate rain",weather_data!H242="drizzle",weather_data!H242="thunderstorm"),1,0)</f>
        <v>0</v>
      </c>
      <c r="J242" s="15">
        <f>IF(weather_data!I242&gt;=25,1,0)</f>
        <v>0</v>
      </c>
    </row>
    <row r="243" ht="15.75" customHeight="1">
      <c r="A243" s="13">
        <f>weather_data!B243</f>
        <v>46005.625</v>
      </c>
      <c r="B243" s="14">
        <f t="shared" si="1"/>
        <v>46005</v>
      </c>
      <c r="C243" s="15" t="str">
        <f t="shared" si="2"/>
        <v>2025-12</v>
      </c>
      <c r="D243" s="15">
        <f t="shared" si="3"/>
        <v>12</v>
      </c>
      <c r="E243" s="15" t="str">
        <f t="shared" si="4"/>
        <v>grudnia</v>
      </c>
      <c r="F243" s="15" t="str">
        <f t="shared" si="5"/>
        <v>Q4</v>
      </c>
      <c r="G243" s="15" t="str">
        <f t="shared" si="6"/>
        <v>Winter</v>
      </c>
      <c r="H243" s="16">
        <f>weather_data!E243-weather_data!D243</f>
        <v>1.1</v>
      </c>
      <c r="I243" s="15">
        <f>IF(OR(weather_data!H243="light rain",weather_data!H243="moderate rain",weather_data!H243="drizzle",weather_data!H243="thunderstorm"),1,0)</f>
        <v>0</v>
      </c>
      <c r="J243" s="15">
        <f>IF(weather_data!I243&gt;=25,1,0)</f>
        <v>1</v>
      </c>
    </row>
    <row r="244" ht="15.75" customHeight="1">
      <c r="A244" s="13">
        <f>weather_data!B244</f>
        <v>46006.54167</v>
      </c>
      <c r="B244" s="14">
        <f t="shared" si="1"/>
        <v>46006</v>
      </c>
      <c r="C244" s="15" t="str">
        <f t="shared" si="2"/>
        <v>2025-12</v>
      </c>
      <c r="D244" s="15">
        <f t="shared" si="3"/>
        <v>12</v>
      </c>
      <c r="E244" s="15" t="str">
        <f t="shared" si="4"/>
        <v>grudnia</v>
      </c>
      <c r="F244" s="15" t="str">
        <f t="shared" si="5"/>
        <v>Q4</v>
      </c>
      <c r="G244" s="15" t="str">
        <f t="shared" si="6"/>
        <v>Winter</v>
      </c>
      <c r="H244" s="16">
        <f>weather_data!E244-weather_data!D244</f>
        <v>0.2</v>
      </c>
      <c r="I244" s="15">
        <f>IF(OR(weather_data!H244="light rain",weather_data!H244="moderate rain",weather_data!H244="drizzle",weather_data!H244="thunderstorm"),1,0)</f>
        <v>0</v>
      </c>
      <c r="J244" s="15">
        <f>IF(weather_data!I244&gt;=25,1,0)</f>
        <v>0</v>
      </c>
    </row>
    <row r="245" ht="15.75" customHeight="1">
      <c r="A245" s="13">
        <f>weather_data!B245</f>
        <v>46007.81944</v>
      </c>
      <c r="B245" s="14">
        <f t="shared" si="1"/>
        <v>46007</v>
      </c>
      <c r="C245" s="15" t="str">
        <f t="shared" si="2"/>
        <v>2025-12</v>
      </c>
      <c r="D245" s="15">
        <f t="shared" si="3"/>
        <v>12</v>
      </c>
      <c r="E245" s="15" t="str">
        <f t="shared" si="4"/>
        <v>grudnia</v>
      </c>
      <c r="F245" s="15" t="str">
        <f t="shared" si="5"/>
        <v>Q4</v>
      </c>
      <c r="G245" s="15" t="str">
        <f t="shared" si="6"/>
        <v>Winter</v>
      </c>
      <c r="H245" s="16">
        <f>weather_data!E245-weather_data!D245</f>
        <v>0.4</v>
      </c>
      <c r="I245" s="15">
        <f>IF(OR(weather_data!H245="light rain",weather_data!H245="moderate rain",weather_data!H245="drizzle",weather_data!H245="thunderstorm"),1,0)</f>
        <v>0</v>
      </c>
      <c r="J245" s="15">
        <f>IF(weather_data!I245&gt;=25,1,0)</f>
        <v>0</v>
      </c>
    </row>
    <row r="246" ht="15.75" customHeight="1">
      <c r="A246" s="13">
        <f>weather_data!B246</f>
        <v>46008.56944</v>
      </c>
      <c r="B246" s="14">
        <f t="shared" si="1"/>
        <v>46008</v>
      </c>
      <c r="C246" s="15" t="str">
        <f t="shared" si="2"/>
        <v>2025-12</v>
      </c>
      <c r="D246" s="15">
        <f t="shared" si="3"/>
        <v>12</v>
      </c>
      <c r="E246" s="15" t="str">
        <f t="shared" si="4"/>
        <v>grudnia</v>
      </c>
      <c r="F246" s="15" t="str">
        <f t="shared" si="5"/>
        <v>Q4</v>
      </c>
      <c r="G246" s="15" t="str">
        <f t="shared" si="6"/>
        <v>Winter</v>
      </c>
      <c r="H246" s="16">
        <f>weather_data!E246-weather_data!D246</f>
        <v>-0.7</v>
      </c>
      <c r="I246" s="15">
        <f>IF(OR(weather_data!H246="light rain",weather_data!H246="moderate rain",weather_data!H246="drizzle",weather_data!H246="thunderstorm"),1,0)</f>
        <v>0</v>
      </c>
      <c r="J246" s="15">
        <f>IF(weather_data!I246&gt;=25,1,0)</f>
        <v>0</v>
      </c>
    </row>
    <row r="247" ht="15.75" customHeight="1">
      <c r="A247" s="13">
        <f>weather_data!B247</f>
        <v>46009.77083</v>
      </c>
      <c r="B247" s="14">
        <f t="shared" si="1"/>
        <v>46009</v>
      </c>
      <c r="C247" s="15" t="str">
        <f t="shared" si="2"/>
        <v>2025-12</v>
      </c>
      <c r="D247" s="15">
        <f t="shared" si="3"/>
        <v>12</v>
      </c>
      <c r="E247" s="15" t="str">
        <f t="shared" si="4"/>
        <v>grudnia</v>
      </c>
      <c r="F247" s="15" t="str">
        <f t="shared" si="5"/>
        <v>Q4</v>
      </c>
      <c r="G247" s="15" t="str">
        <f t="shared" si="6"/>
        <v>Winter</v>
      </c>
      <c r="H247" s="16">
        <f>weather_data!E247-weather_data!D247</f>
        <v>0.6</v>
      </c>
      <c r="I247" s="15">
        <f>IF(OR(weather_data!H247="light rain",weather_data!H247="moderate rain",weather_data!H247="drizzle",weather_data!H247="thunderstorm"),1,0)</f>
        <v>1</v>
      </c>
      <c r="J247" s="15">
        <f>IF(weather_data!I247&gt;=25,1,0)</f>
        <v>1</v>
      </c>
    </row>
    <row r="248" ht="15.75" customHeight="1">
      <c r="A248" s="13">
        <f>weather_data!B248</f>
        <v>46010.84722</v>
      </c>
      <c r="B248" s="14">
        <f t="shared" si="1"/>
        <v>46010</v>
      </c>
      <c r="C248" s="15" t="str">
        <f t="shared" si="2"/>
        <v>2025-12</v>
      </c>
      <c r="D248" s="15">
        <f t="shared" si="3"/>
        <v>12</v>
      </c>
      <c r="E248" s="15" t="str">
        <f t="shared" si="4"/>
        <v>grudnia</v>
      </c>
      <c r="F248" s="15" t="str">
        <f t="shared" si="5"/>
        <v>Q4</v>
      </c>
      <c r="G248" s="15" t="str">
        <f t="shared" si="6"/>
        <v>Winter</v>
      </c>
      <c r="H248" s="16">
        <f>weather_data!E248-weather_data!D248</f>
        <v>-0.3</v>
      </c>
      <c r="I248" s="15">
        <f>IF(OR(weather_data!H248="light rain",weather_data!H248="moderate rain",weather_data!H248="drizzle",weather_data!H248="thunderstorm"),1,0)</f>
        <v>0</v>
      </c>
      <c r="J248" s="15">
        <f>IF(weather_data!I248&gt;=25,1,0)</f>
        <v>0</v>
      </c>
    </row>
    <row r="249" ht="15.75" customHeight="1">
      <c r="A249" s="13">
        <f>weather_data!B249</f>
        <v>46011.80556</v>
      </c>
      <c r="B249" s="14">
        <f t="shared" si="1"/>
        <v>46011</v>
      </c>
      <c r="C249" s="15" t="str">
        <f t="shared" si="2"/>
        <v>2025-12</v>
      </c>
      <c r="D249" s="15">
        <f t="shared" si="3"/>
        <v>12</v>
      </c>
      <c r="E249" s="15" t="str">
        <f t="shared" si="4"/>
        <v>grudnia</v>
      </c>
      <c r="F249" s="15" t="str">
        <f t="shared" si="5"/>
        <v>Q4</v>
      </c>
      <c r="G249" s="15" t="str">
        <f t="shared" si="6"/>
        <v>Winter</v>
      </c>
      <c r="H249" s="16">
        <f>weather_data!E249-weather_data!D249</f>
        <v>0.4</v>
      </c>
      <c r="I249" s="15">
        <f>IF(OR(weather_data!H249="light rain",weather_data!H249="moderate rain",weather_data!H249="drizzle",weather_data!H249="thunderstorm"),1,0)</f>
        <v>1</v>
      </c>
      <c r="J249" s="15">
        <f>IF(weather_data!I249&gt;=25,1,0)</f>
        <v>1</v>
      </c>
    </row>
    <row r="250" ht="15.75" customHeight="1">
      <c r="A250" s="13">
        <f>weather_data!B250</f>
        <v>46012.31944</v>
      </c>
      <c r="B250" s="14">
        <f t="shared" si="1"/>
        <v>46012</v>
      </c>
      <c r="C250" s="15" t="str">
        <f t="shared" si="2"/>
        <v>2025-12</v>
      </c>
      <c r="D250" s="15">
        <f t="shared" si="3"/>
        <v>12</v>
      </c>
      <c r="E250" s="15" t="str">
        <f t="shared" si="4"/>
        <v>grudnia</v>
      </c>
      <c r="F250" s="15" t="str">
        <f t="shared" si="5"/>
        <v>Q4</v>
      </c>
      <c r="G250" s="15" t="str">
        <f t="shared" si="6"/>
        <v>Winter</v>
      </c>
      <c r="H250" s="16">
        <f>weather_data!E250-weather_data!D250</f>
        <v>-1.3</v>
      </c>
      <c r="I250" s="15">
        <f>IF(OR(weather_data!H250="light rain",weather_data!H250="moderate rain",weather_data!H250="drizzle",weather_data!H250="thunderstorm"),1,0)</f>
        <v>1</v>
      </c>
      <c r="J250" s="15">
        <f>IF(weather_data!I250&gt;=25,1,0)</f>
        <v>1</v>
      </c>
    </row>
    <row r="251" ht="15.75" customHeight="1">
      <c r="A251" s="13">
        <f>weather_data!B251</f>
        <v>46013.38194</v>
      </c>
      <c r="B251" s="14">
        <f t="shared" si="1"/>
        <v>46013</v>
      </c>
      <c r="C251" s="15" t="str">
        <f t="shared" si="2"/>
        <v>2025-12</v>
      </c>
      <c r="D251" s="15">
        <f t="shared" si="3"/>
        <v>12</v>
      </c>
      <c r="E251" s="15" t="str">
        <f t="shared" si="4"/>
        <v>grudnia</v>
      </c>
      <c r="F251" s="15" t="str">
        <f t="shared" si="5"/>
        <v>Q4</v>
      </c>
      <c r="G251" s="15" t="str">
        <f t="shared" si="6"/>
        <v>Winter</v>
      </c>
      <c r="H251" s="16">
        <f>weather_data!E251-weather_data!D251</f>
        <v>1.2</v>
      </c>
      <c r="I251" s="15">
        <f>IF(OR(weather_data!H251="light rain",weather_data!H251="moderate rain",weather_data!H251="drizzle",weather_data!H251="thunderstorm"),1,0)</f>
        <v>1</v>
      </c>
      <c r="J251" s="15">
        <f>IF(weather_data!I251&gt;=25,1,0)</f>
        <v>0</v>
      </c>
    </row>
    <row r="252" ht="15.75" customHeight="1">
      <c r="A252" s="13">
        <f>weather_data!B252</f>
        <v>46014.51389</v>
      </c>
      <c r="B252" s="14">
        <f t="shared" si="1"/>
        <v>46014</v>
      </c>
      <c r="C252" s="15" t="str">
        <f t="shared" si="2"/>
        <v>2025-12</v>
      </c>
      <c r="D252" s="15">
        <f t="shared" si="3"/>
        <v>12</v>
      </c>
      <c r="E252" s="15" t="str">
        <f t="shared" si="4"/>
        <v>grudnia</v>
      </c>
      <c r="F252" s="15" t="str">
        <f t="shared" si="5"/>
        <v>Q4</v>
      </c>
      <c r="G252" s="15" t="str">
        <f t="shared" si="6"/>
        <v>Winter</v>
      </c>
      <c r="H252" s="16">
        <f>weather_data!E252-weather_data!D252</f>
        <v>0.6</v>
      </c>
      <c r="I252" s="15">
        <f>IF(OR(weather_data!H252="light rain",weather_data!H252="moderate rain",weather_data!H252="drizzle",weather_data!H252="thunderstorm"),1,0)</f>
        <v>0</v>
      </c>
      <c r="J252" s="15">
        <f>IF(weather_data!I252&gt;=25,1,0)</f>
        <v>0</v>
      </c>
    </row>
    <row r="253" ht="15.75" customHeight="1">
      <c r="A253" s="13">
        <f>weather_data!B253</f>
        <v>46015.34028</v>
      </c>
      <c r="B253" s="14">
        <f t="shared" si="1"/>
        <v>46015</v>
      </c>
      <c r="C253" s="15" t="str">
        <f t="shared" si="2"/>
        <v>2025-12</v>
      </c>
      <c r="D253" s="15">
        <f t="shared" si="3"/>
        <v>12</v>
      </c>
      <c r="E253" s="15" t="str">
        <f t="shared" si="4"/>
        <v>grudnia</v>
      </c>
      <c r="F253" s="15" t="str">
        <f t="shared" si="5"/>
        <v>Q4</v>
      </c>
      <c r="G253" s="15" t="str">
        <f t="shared" si="6"/>
        <v>Winter</v>
      </c>
      <c r="H253" s="16">
        <f>weather_data!E253-weather_data!D253</f>
        <v>-0.3</v>
      </c>
      <c r="I253" s="15">
        <f>IF(OR(weather_data!H253="light rain",weather_data!H253="moderate rain",weather_data!H253="drizzle",weather_data!H253="thunderstorm"),1,0)</f>
        <v>0</v>
      </c>
      <c r="J253" s="15">
        <f>IF(weather_data!I253&gt;=25,1,0)</f>
        <v>0</v>
      </c>
    </row>
    <row r="254" ht="15.75" customHeight="1">
      <c r="A254" s="13">
        <f>weather_data!B254</f>
        <v>46016.54861</v>
      </c>
      <c r="B254" s="14">
        <f t="shared" si="1"/>
        <v>46016</v>
      </c>
      <c r="C254" s="15" t="str">
        <f t="shared" si="2"/>
        <v>2025-12</v>
      </c>
      <c r="D254" s="15">
        <f t="shared" si="3"/>
        <v>12</v>
      </c>
      <c r="E254" s="15" t="str">
        <f t="shared" si="4"/>
        <v>grudnia</v>
      </c>
      <c r="F254" s="15" t="str">
        <f t="shared" si="5"/>
        <v>Q4</v>
      </c>
      <c r="G254" s="15" t="str">
        <f t="shared" si="6"/>
        <v>Winter</v>
      </c>
      <c r="H254" s="16">
        <f>weather_data!E254-weather_data!D254</f>
        <v>-1.4</v>
      </c>
      <c r="I254" s="15">
        <f>IF(OR(weather_data!H254="light rain",weather_data!H254="moderate rain",weather_data!H254="drizzle",weather_data!H254="thunderstorm"),1,0)</f>
        <v>0</v>
      </c>
      <c r="J254" s="15">
        <f>IF(weather_data!I254&gt;=25,1,0)</f>
        <v>0</v>
      </c>
    </row>
    <row r="255" ht="15.75" customHeight="1">
      <c r="A255" s="13">
        <f>weather_data!B255</f>
        <v>46017.34028</v>
      </c>
      <c r="B255" s="14">
        <f t="shared" si="1"/>
        <v>46017</v>
      </c>
      <c r="C255" s="15" t="str">
        <f t="shared" si="2"/>
        <v>2025-12</v>
      </c>
      <c r="D255" s="15">
        <f t="shared" si="3"/>
        <v>12</v>
      </c>
      <c r="E255" s="15" t="str">
        <f t="shared" si="4"/>
        <v>grudnia</v>
      </c>
      <c r="F255" s="15" t="str">
        <f t="shared" si="5"/>
        <v>Q4</v>
      </c>
      <c r="G255" s="15" t="str">
        <f t="shared" si="6"/>
        <v>Winter</v>
      </c>
      <c r="H255" s="16">
        <f>weather_data!E255-weather_data!D255</f>
        <v>-0.6</v>
      </c>
      <c r="I255" s="15">
        <f>IF(OR(weather_data!H255="light rain",weather_data!H255="moderate rain",weather_data!H255="drizzle",weather_data!H255="thunderstorm"),1,0)</f>
        <v>1</v>
      </c>
      <c r="J255" s="15">
        <f>IF(weather_data!I255&gt;=25,1,0)</f>
        <v>0</v>
      </c>
    </row>
    <row r="256" ht="15.75" customHeight="1">
      <c r="A256" s="13">
        <f>weather_data!B256</f>
        <v>46018.27083</v>
      </c>
      <c r="B256" s="14">
        <f t="shared" si="1"/>
        <v>46018</v>
      </c>
      <c r="C256" s="15" t="str">
        <f t="shared" si="2"/>
        <v>2025-12</v>
      </c>
      <c r="D256" s="15">
        <f t="shared" si="3"/>
        <v>12</v>
      </c>
      <c r="E256" s="15" t="str">
        <f t="shared" si="4"/>
        <v>grudnia</v>
      </c>
      <c r="F256" s="15" t="str">
        <f t="shared" si="5"/>
        <v>Q4</v>
      </c>
      <c r="G256" s="15" t="str">
        <f t="shared" si="6"/>
        <v>Winter</v>
      </c>
      <c r="H256" s="16">
        <f>weather_data!E256-weather_data!D256</f>
        <v>-0.7</v>
      </c>
      <c r="I256" s="15">
        <f>IF(OR(weather_data!H256="light rain",weather_data!H256="moderate rain",weather_data!H256="drizzle",weather_data!H256="thunderstorm"),1,0)</f>
        <v>1</v>
      </c>
      <c r="J256" s="15">
        <f>IF(weather_data!I256&gt;=25,1,0)</f>
        <v>0</v>
      </c>
    </row>
    <row r="257" ht="15.75" customHeight="1">
      <c r="A257" s="13">
        <f>weather_data!B257</f>
        <v>46019.86806</v>
      </c>
      <c r="B257" s="14">
        <f t="shared" si="1"/>
        <v>46019</v>
      </c>
      <c r="C257" s="15" t="str">
        <f t="shared" si="2"/>
        <v>2025-12</v>
      </c>
      <c r="D257" s="15">
        <f t="shared" si="3"/>
        <v>12</v>
      </c>
      <c r="E257" s="15" t="str">
        <f t="shared" si="4"/>
        <v>grudnia</v>
      </c>
      <c r="F257" s="15" t="str">
        <f t="shared" si="5"/>
        <v>Q4</v>
      </c>
      <c r="G257" s="15" t="str">
        <f t="shared" si="6"/>
        <v>Winter</v>
      </c>
      <c r="H257" s="16">
        <f>weather_data!E257-weather_data!D257</f>
        <v>0.9</v>
      </c>
      <c r="I257" s="15">
        <f>IF(OR(weather_data!H257="light rain",weather_data!H257="moderate rain",weather_data!H257="drizzle",weather_data!H257="thunderstorm"),1,0)</f>
        <v>1</v>
      </c>
      <c r="J257" s="15">
        <f>IF(weather_data!I257&gt;=25,1,0)</f>
        <v>0</v>
      </c>
    </row>
    <row r="258" ht="15.75" customHeight="1">
      <c r="A258" s="13">
        <f>weather_data!B258</f>
        <v>46020.88889</v>
      </c>
      <c r="B258" s="14">
        <f t="shared" si="1"/>
        <v>46020</v>
      </c>
      <c r="C258" s="15" t="str">
        <f t="shared" si="2"/>
        <v>2025-12</v>
      </c>
      <c r="D258" s="15">
        <f t="shared" si="3"/>
        <v>12</v>
      </c>
      <c r="E258" s="15" t="str">
        <f t="shared" si="4"/>
        <v>grudnia</v>
      </c>
      <c r="F258" s="15" t="str">
        <f t="shared" si="5"/>
        <v>Q4</v>
      </c>
      <c r="G258" s="15" t="str">
        <f t="shared" si="6"/>
        <v>Winter</v>
      </c>
      <c r="H258" s="16">
        <f>weather_data!E258-weather_data!D258</f>
        <v>1.2</v>
      </c>
      <c r="I258" s="15">
        <f>IF(OR(weather_data!H258="light rain",weather_data!H258="moderate rain",weather_data!H258="drizzle",weather_data!H258="thunderstorm"),1,0)</f>
        <v>0</v>
      </c>
      <c r="J258" s="15">
        <f>IF(weather_data!I258&gt;=25,1,0)</f>
        <v>0</v>
      </c>
    </row>
    <row r="259" ht="15.75" customHeight="1">
      <c r="A259" s="13">
        <f>weather_data!B259</f>
        <v>46021.29861</v>
      </c>
      <c r="B259" s="14">
        <f t="shared" si="1"/>
        <v>46021</v>
      </c>
      <c r="C259" s="15" t="str">
        <f t="shared" si="2"/>
        <v>2025-12</v>
      </c>
      <c r="D259" s="15">
        <f t="shared" si="3"/>
        <v>12</v>
      </c>
      <c r="E259" s="15" t="str">
        <f t="shared" si="4"/>
        <v>grudnia</v>
      </c>
      <c r="F259" s="15" t="str">
        <f t="shared" si="5"/>
        <v>Q4</v>
      </c>
      <c r="G259" s="15" t="str">
        <f t="shared" si="6"/>
        <v>Winter</v>
      </c>
      <c r="H259" s="16">
        <f>weather_data!E259-weather_data!D259</f>
        <v>-0.4</v>
      </c>
      <c r="I259" s="15">
        <f>IF(OR(weather_data!H259="light rain",weather_data!H259="moderate rain",weather_data!H259="drizzle",weather_data!H259="thunderstorm"),1,0)</f>
        <v>0</v>
      </c>
      <c r="J259" s="15">
        <f>IF(weather_data!I259&gt;=25,1,0)</f>
        <v>0</v>
      </c>
    </row>
    <row r="260" ht="15.75" customHeight="1">
      <c r="A260" s="13">
        <f>weather_data!B260</f>
        <v>46022.65972</v>
      </c>
      <c r="B260" s="14">
        <f t="shared" si="1"/>
        <v>46022</v>
      </c>
      <c r="C260" s="15" t="str">
        <f t="shared" si="2"/>
        <v>2025-12</v>
      </c>
      <c r="D260" s="15">
        <f t="shared" si="3"/>
        <v>12</v>
      </c>
      <c r="E260" s="15" t="str">
        <f t="shared" si="4"/>
        <v>grudnia</v>
      </c>
      <c r="F260" s="15" t="str">
        <f t="shared" si="5"/>
        <v>Q4</v>
      </c>
      <c r="G260" s="15" t="str">
        <f t="shared" si="6"/>
        <v>Winter</v>
      </c>
      <c r="H260" s="16">
        <f>weather_data!E260-weather_data!D260</f>
        <v>0.3</v>
      </c>
      <c r="I260" s="15">
        <f>IF(OR(weather_data!H260="light rain",weather_data!H260="moderate rain",weather_data!H260="drizzle",weather_data!H260="thunderstorm"),1,0)</f>
        <v>0</v>
      </c>
      <c r="J260" s="15">
        <f>IF(weather_data!I260&gt;=25,1,0)</f>
        <v>0</v>
      </c>
    </row>
    <row r="261" ht="15.75" customHeight="1">
      <c r="A261" s="13">
        <f>weather_data!B261</f>
        <v>46023.65972</v>
      </c>
      <c r="B261" s="14">
        <f t="shared" si="1"/>
        <v>46023</v>
      </c>
      <c r="C261" s="15" t="str">
        <f t="shared" si="2"/>
        <v>2026-01</v>
      </c>
      <c r="D261" s="15">
        <f t="shared" si="3"/>
        <v>1</v>
      </c>
      <c r="E261" s="15" t="str">
        <f t="shared" si="4"/>
        <v>stycznia</v>
      </c>
      <c r="F261" s="15" t="str">
        <f t="shared" si="5"/>
        <v>Q1</v>
      </c>
      <c r="G261" s="15" t="str">
        <f t="shared" si="6"/>
        <v>Winter</v>
      </c>
      <c r="H261" s="16">
        <f>weather_data!E261-weather_data!D261</f>
        <v>0.4</v>
      </c>
      <c r="I261" s="15">
        <f>IF(OR(weather_data!H261="light rain",weather_data!H261="moderate rain",weather_data!H261="drizzle",weather_data!H261="thunderstorm"),1,0)</f>
        <v>1</v>
      </c>
      <c r="J261" s="15">
        <f>IF(weather_data!I261&gt;=25,1,0)</f>
        <v>1</v>
      </c>
    </row>
    <row r="262" ht="15.75" customHeight="1">
      <c r="A262" s="13">
        <f>weather_data!B262</f>
        <v>46024.83333</v>
      </c>
      <c r="B262" s="14">
        <f t="shared" si="1"/>
        <v>46024</v>
      </c>
      <c r="C262" s="15" t="str">
        <f t="shared" si="2"/>
        <v>2026-01</v>
      </c>
      <c r="D262" s="15">
        <f t="shared" si="3"/>
        <v>1</v>
      </c>
      <c r="E262" s="15" t="str">
        <f t="shared" si="4"/>
        <v>stycznia</v>
      </c>
      <c r="F262" s="15" t="str">
        <f t="shared" si="5"/>
        <v>Q1</v>
      </c>
      <c r="G262" s="15" t="str">
        <f t="shared" si="6"/>
        <v>Winter</v>
      </c>
      <c r="H262" s="16">
        <f>weather_data!E262-weather_data!D262</f>
        <v>1</v>
      </c>
      <c r="I262" s="15">
        <f>IF(OR(weather_data!H262="light rain",weather_data!H262="moderate rain",weather_data!H262="drizzle",weather_data!H262="thunderstorm"),1,0)</f>
        <v>1</v>
      </c>
      <c r="J262" s="15">
        <f>IF(weather_data!I262&gt;=25,1,0)</f>
        <v>0</v>
      </c>
    </row>
    <row r="263" ht="15.75" customHeight="1">
      <c r="A263" s="13">
        <f>weather_data!B263</f>
        <v>46025.55556</v>
      </c>
      <c r="B263" s="14">
        <f t="shared" si="1"/>
        <v>46025</v>
      </c>
      <c r="C263" s="15" t="str">
        <f t="shared" si="2"/>
        <v>2026-01</v>
      </c>
      <c r="D263" s="15">
        <f t="shared" si="3"/>
        <v>1</v>
      </c>
      <c r="E263" s="15" t="str">
        <f t="shared" si="4"/>
        <v>stycznia</v>
      </c>
      <c r="F263" s="15" t="str">
        <f t="shared" si="5"/>
        <v>Q1</v>
      </c>
      <c r="G263" s="15" t="str">
        <f t="shared" si="6"/>
        <v>Winter</v>
      </c>
      <c r="H263" s="16">
        <f>weather_data!E263-weather_data!D263</f>
        <v>-0.7</v>
      </c>
      <c r="I263" s="15">
        <f>IF(OR(weather_data!H263="light rain",weather_data!H263="moderate rain",weather_data!H263="drizzle",weather_data!H263="thunderstorm"),1,0)</f>
        <v>0</v>
      </c>
      <c r="J263" s="15">
        <f>IF(weather_data!I263&gt;=25,1,0)</f>
        <v>0</v>
      </c>
    </row>
    <row r="264" ht="15.75" customHeight="1">
      <c r="A264" s="13">
        <f>weather_data!B264</f>
        <v>46026.52083</v>
      </c>
      <c r="B264" s="14">
        <f t="shared" si="1"/>
        <v>46026</v>
      </c>
      <c r="C264" s="15" t="str">
        <f t="shared" si="2"/>
        <v>2026-01</v>
      </c>
      <c r="D264" s="15">
        <f t="shared" si="3"/>
        <v>1</v>
      </c>
      <c r="E264" s="15" t="str">
        <f t="shared" si="4"/>
        <v>stycznia</v>
      </c>
      <c r="F264" s="15" t="str">
        <f t="shared" si="5"/>
        <v>Q1</v>
      </c>
      <c r="G264" s="15" t="str">
        <f t="shared" si="6"/>
        <v>Winter</v>
      </c>
      <c r="H264" s="16">
        <f>weather_data!E264-weather_data!D264</f>
        <v>0.5</v>
      </c>
      <c r="I264" s="15">
        <f>IF(OR(weather_data!H264="light rain",weather_data!H264="moderate rain",weather_data!H264="drizzle",weather_data!H264="thunderstorm"),1,0)</f>
        <v>0</v>
      </c>
      <c r="J264" s="15">
        <f>IF(weather_data!I264&gt;=25,1,0)</f>
        <v>0</v>
      </c>
    </row>
    <row r="265" ht="15.75" customHeight="1">
      <c r="A265" s="13">
        <f>weather_data!B265</f>
        <v>46027.40278</v>
      </c>
      <c r="B265" s="14">
        <f t="shared" si="1"/>
        <v>46027</v>
      </c>
      <c r="C265" s="15" t="str">
        <f t="shared" si="2"/>
        <v>2026-01</v>
      </c>
      <c r="D265" s="15">
        <f t="shared" si="3"/>
        <v>1</v>
      </c>
      <c r="E265" s="15" t="str">
        <f t="shared" si="4"/>
        <v>stycznia</v>
      </c>
      <c r="F265" s="15" t="str">
        <f t="shared" si="5"/>
        <v>Q1</v>
      </c>
      <c r="G265" s="15" t="str">
        <f t="shared" si="6"/>
        <v>Winter</v>
      </c>
      <c r="H265" s="16">
        <f>weather_data!E265-weather_data!D265</f>
        <v>-0.9</v>
      </c>
      <c r="I265" s="15">
        <f>IF(OR(weather_data!H265="light rain",weather_data!H265="moderate rain",weather_data!H265="drizzle",weather_data!H265="thunderstorm"),1,0)</f>
        <v>0</v>
      </c>
      <c r="J265" s="15">
        <f>IF(weather_data!I265&gt;=25,1,0)</f>
        <v>0</v>
      </c>
    </row>
    <row r="266" ht="15.75" customHeight="1">
      <c r="A266" s="13">
        <f>weather_data!B266</f>
        <v>46028.57639</v>
      </c>
      <c r="B266" s="14">
        <f t="shared" si="1"/>
        <v>46028</v>
      </c>
      <c r="C266" s="15" t="str">
        <f t="shared" si="2"/>
        <v>2026-01</v>
      </c>
      <c r="D266" s="15">
        <f t="shared" si="3"/>
        <v>1</v>
      </c>
      <c r="E266" s="15" t="str">
        <f t="shared" si="4"/>
        <v>stycznia</v>
      </c>
      <c r="F266" s="15" t="str">
        <f t="shared" si="5"/>
        <v>Q1</v>
      </c>
      <c r="G266" s="15" t="str">
        <f t="shared" si="6"/>
        <v>Winter</v>
      </c>
      <c r="H266" s="16">
        <f>weather_data!E266-weather_data!D266</f>
        <v>-1.6</v>
      </c>
      <c r="I266" s="15">
        <f>IF(OR(weather_data!H266="light rain",weather_data!H266="moderate rain",weather_data!H266="drizzle",weather_data!H266="thunderstorm"),1,0)</f>
        <v>0</v>
      </c>
      <c r="J266" s="15">
        <f>IF(weather_data!I266&gt;=25,1,0)</f>
        <v>1</v>
      </c>
    </row>
    <row r="267" ht="15.75" customHeight="1">
      <c r="A267" s="13">
        <f>weather_data!B267</f>
        <v>46029.43056</v>
      </c>
      <c r="B267" s="14">
        <f t="shared" si="1"/>
        <v>46029</v>
      </c>
      <c r="C267" s="15" t="str">
        <f t="shared" si="2"/>
        <v>2026-01</v>
      </c>
      <c r="D267" s="15">
        <f t="shared" si="3"/>
        <v>1</v>
      </c>
      <c r="E267" s="15" t="str">
        <f t="shared" si="4"/>
        <v>stycznia</v>
      </c>
      <c r="F267" s="15" t="str">
        <f t="shared" si="5"/>
        <v>Q1</v>
      </c>
      <c r="G267" s="15" t="str">
        <f t="shared" si="6"/>
        <v>Winter</v>
      </c>
      <c r="H267" s="16">
        <f>weather_data!E267-weather_data!D267</f>
        <v>-1.3</v>
      </c>
      <c r="I267" s="15">
        <f>IF(OR(weather_data!H267="light rain",weather_data!H267="moderate rain",weather_data!H267="drizzle",weather_data!H267="thunderstorm"),1,0)</f>
        <v>0</v>
      </c>
      <c r="J267" s="15">
        <f>IF(weather_data!I267&gt;=25,1,0)</f>
        <v>1</v>
      </c>
    </row>
    <row r="268" ht="15.75" customHeight="1">
      <c r="A268" s="13">
        <f>weather_data!B268</f>
        <v>46030.41667</v>
      </c>
      <c r="B268" s="14">
        <f t="shared" si="1"/>
        <v>46030</v>
      </c>
      <c r="C268" s="15" t="str">
        <f t="shared" si="2"/>
        <v>2026-01</v>
      </c>
      <c r="D268" s="15">
        <f t="shared" si="3"/>
        <v>1</v>
      </c>
      <c r="E268" s="15" t="str">
        <f t="shared" si="4"/>
        <v>stycznia</v>
      </c>
      <c r="F268" s="15" t="str">
        <f t="shared" si="5"/>
        <v>Q1</v>
      </c>
      <c r="G268" s="15" t="str">
        <f t="shared" si="6"/>
        <v>Winter</v>
      </c>
      <c r="H268" s="16">
        <f>weather_data!E268-weather_data!D268</f>
        <v>-1</v>
      </c>
      <c r="I268" s="15">
        <f>IF(OR(weather_data!H268="light rain",weather_data!H268="moderate rain",weather_data!H268="drizzle",weather_data!H268="thunderstorm"),1,0)</f>
        <v>0</v>
      </c>
      <c r="J268" s="15">
        <f>IF(weather_data!I268&gt;=25,1,0)</f>
        <v>0</v>
      </c>
    </row>
    <row r="269" ht="15.75" customHeight="1">
      <c r="A269" s="13">
        <f>weather_data!B269</f>
        <v>46031.29861</v>
      </c>
      <c r="B269" s="14">
        <f t="shared" si="1"/>
        <v>46031</v>
      </c>
      <c r="C269" s="15" t="str">
        <f t="shared" si="2"/>
        <v>2026-01</v>
      </c>
      <c r="D269" s="15">
        <f t="shared" si="3"/>
        <v>1</v>
      </c>
      <c r="E269" s="15" t="str">
        <f t="shared" si="4"/>
        <v>stycznia</v>
      </c>
      <c r="F269" s="15" t="str">
        <f t="shared" si="5"/>
        <v>Q1</v>
      </c>
      <c r="G269" s="15" t="str">
        <f t="shared" si="6"/>
        <v>Winter</v>
      </c>
      <c r="H269" s="16">
        <f>weather_data!E269-weather_data!D269</f>
        <v>-0.3</v>
      </c>
      <c r="I269" s="15">
        <f>IF(OR(weather_data!H269="light rain",weather_data!H269="moderate rain",weather_data!H269="drizzle",weather_data!H269="thunderstorm"),1,0)</f>
        <v>0</v>
      </c>
      <c r="J269" s="15">
        <f>IF(weather_data!I269&gt;=25,1,0)</f>
        <v>0</v>
      </c>
    </row>
    <row r="270" ht="15.75" customHeight="1">
      <c r="A270" s="13">
        <f>weather_data!B270</f>
        <v>46032.65278</v>
      </c>
      <c r="B270" s="14">
        <f t="shared" si="1"/>
        <v>46032</v>
      </c>
      <c r="C270" s="15" t="str">
        <f t="shared" si="2"/>
        <v>2026-01</v>
      </c>
      <c r="D270" s="15">
        <f t="shared" si="3"/>
        <v>1</v>
      </c>
      <c r="E270" s="15" t="str">
        <f t="shared" si="4"/>
        <v>stycznia</v>
      </c>
      <c r="F270" s="15" t="str">
        <f t="shared" si="5"/>
        <v>Q1</v>
      </c>
      <c r="G270" s="15" t="str">
        <f t="shared" si="6"/>
        <v>Winter</v>
      </c>
      <c r="H270" s="16">
        <f>weather_data!E270-weather_data!D270</f>
        <v>-0.9</v>
      </c>
      <c r="I270" s="15">
        <f>IF(OR(weather_data!H270="light rain",weather_data!H270="moderate rain",weather_data!H270="drizzle",weather_data!H270="thunderstorm"),1,0)</f>
        <v>1</v>
      </c>
      <c r="J270" s="15">
        <f>IF(weather_data!I270&gt;=25,1,0)</f>
        <v>0</v>
      </c>
    </row>
    <row r="271" ht="15.75" customHeight="1">
      <c r="A271" s="13">
        <f>weather_data!B271</f>
        <v>46033.64583</v>
      </c>
      <c r="B271" s="14">
        <f t="shared" si="1"/>
        <v>46033</v>
      </c>
      <c r="C271" s="15" t="str">
        <f t="shared" si="2"/>
        <v>2026-01</v>
      </c>
      <c r="D271" s="15">
        <f t="shared" si="3"/>
        <v>1</v>
      </c>
      <c r="E271" s="15" t="str">
        <f t="shared" si="4"/>
        <v>stycznia</v>
      </c>
      <c r="F271" s="15" t="str">
        <f t="shared" si="5"/>
        <v>Q1</v>
      </c>
      <c r="G271" s="15" t="str">
        <f t="shared" si="6"/>
        <v>Winter</v>
      </c>
      <c r="H271" s="16">
        <f>weather_data!E271-weather_data!D271</f>
        <v>0</v>
      </c>
      <c r="I271" s="15">
        <f>IF(OR(weather_data!H271="light rain",weather_data!H271="moderate rain",weather_data!H271="drizzle",weather_data!H271="thunderstorm"),1,0)</f>
        <v>0</v>
      </c>
      <c r="J271" s="15">
        <f>IF(weather_data!I271&gt;=25,1,0)</f>
        <v>0</v>
      </c>
    </row>
    <row r="272" ht="15.75" customHeight="1">
      <c r="A272" s="13">
        <f>weather_data!B272</f>
        <v>46034.39583</v>
      </c>
      <c r="B272" s="14">
        <f t="shared" si="1"/>
        <v>46034</v>
      </c>
      <c r="C272" s="15" t="str">
        <f t="shared" si="2"/>
        <v>2026-01</v>
      </c>
      <c r="D272" s="15">
        <f t="shared" si="3"/>
        <v>1</v>
      </c>
      <c r="E272" s="15" t="str">
        <f t="shared" si="4"/>
        <v>stycznia</v>
      </c>
      <c r="F272" s="15" t="str">
        <f t="shared" si="5"/>
        <v>Q1</v>
      </c>
      <c r="G272" s="15" t="str">
        <f t="shared" si="6"/>
        <v>Winter</v>
      </c>
      <c r="H272" s="16">
        <f>weather_data!E272-weather_data!D272</f>
        <v>-1.6</v>
      </c>
      <c r="I272" s="15">
        <f>IF(OR(weather_data!H272="light rain",weather_data!H272="moderate rain",weather_data!H272="drizzle",weather_data!H272="thunderstorm"),1,0)</f>
        <v>0</v>
      </c>
      <c r="J272" s="15">
        <f>IF(weather_data!I272&gt;=25,1,0)</f>
        <v>0</v>
      </c>
    </row>
    <row r="273" ht="15.75" customHeight="1">
      <c r="A273" s="13">
        <f>weather_data!B273</f>
        <v>46035.65972</v>
      </c>
      <c r="B273" s="14">
        <f t="shared" si="1"/>
        <v>46035</v>
      </c>
      <c r="C273" s="15" t="str">
        <f t="shared" si="2"/>
        <v>2026-01</v>
      </c>
      <c r="D273" s="15">
        <f t="shared" si="3"/>
        <v>1</v>
      </c>
      <c r="E273" s="15" t="str">
        <f t="shared" si="4"/>
        <v>stycznia</v>
      </c>
      <c r="F273" s="15" t="str">
        <f t="shared" si="5"/>
        <v>Q1</v>
      </c>
      <c r="G273" s="15" t="str">
        <f t="shared" si="6"/>
        <v>Winter</v>
      </c>
      <c r="H273" s="16">
        <f>weather_data!E273-weather_data!D273</f>
        <v>-1</v>
      </c>
      <c r="I273" s="15">
        <f>IF(OR(weather_data!H273="light rain",weather_data!H273="moderate rain",weather_data!H273="drizzle",weather_data!H273="thunderstorm"),1,0)</f>
        <v>0</v>
      </c>
      <c r="J273" s="15">
        <f>IF(weather_data!I273&gt;=25,1,0)</f>
        <v>1</v>
      </c>
    </row>
    <row r="274" ht="15.75" customHeight="1">
      <c r="A274" s="13">
        <f>weather_data!B274</f>
        <v>46036.76389</v>
      </c>
      <c r="B274" s="14">
        <f t="shared" si="1"/>
        <v>46036</v>
      </c>
      <c r="C274" s="15" t="str">
        <f t="shared" si="2"/>
        <v>2026-01</v>
      </c>
      <c r="D274" s="15">
        <f t="shared" si="3"/>
        <v>1</v>
      </c>
      <c r="E274" s="15" t="str">
        <f t="shared" si="4"/>
        <v>stycznia</v>
      </c>
      <c r="F274" s="15" t="str">
        <f t="shared" si="5"/>
        <v>Q1</v>
      </c>
      <c r="G274" s="15" t="str">
        <f t="shared" si="6"/>
        <v>Winter</v>
      </c>
      <c r="H274" s="16">
        <f>weather_data!E274-weather_data!D274</f>
        <v>-0.7</v>
      </c>
      <c r="I274" s="15">
        <f>IF(OR(weather_data!H274="light rain",weather_data!H274="moderate rain",weather_data!H274="drizzle",weather_data!H274="thunderstorm"),1,0)</f>
        <v>0</v>
      </c>
      <c r="J274" s="15">
        <f>IF(weather_data!I274&gt;=25,1,0)</f>
        <v>0</v>
      </c>
    </row>
    <row r="275" ht="15.75" customHeight="1">
      <c r="A275" s="13">
        <f>weather_data!B275</f>
        <v>46037.89583</v>
      </c>
      <c r="B275" s="14">
        <f t="shared" si="1"/>
        <v>46037</v>
      </c>
      <c r="C275" s="15" t="str">
        <f t="shared" si="2"/>
        <v>2026-01</v>
      </c>
      <c r="D275" s="15">
        <f t="shared" si="3"/>
        <v>1</v>
      </c>
      <c r="E275" s="15" t="str">
        <f t="shared" si="4"/>
        <v>stycznia</v>
      </c>
      <c r="F275" s="15" t="str">
        <f t="shared" si="5"/>
        <v>Q1</v>
      </c>
      <c r="G275" s="15" t="str">
        <f t="shared" si="6"/>
        <v>Winter</v>
      </c>
      <c r="H275" s="16">
        <f>weather_data!E275-weather_data!D275</f>
        <v>0.1</v>
      </c>
      <c r="I275" s="15">
        <f>IF(OR(weather_data!H275="light rain",weather_data!H275="moderate rain",weather_data!H275="drizzle",weather_data!H275="thunderstorm"),1,0)</f>
        <v>0</v>
      </c>
      <c r="J275" s="15">
        <f>IF(weather_data!I275&gt;=25,1,0)</f>
        <v>0</v>
      </c>
    </row>
    <row r="276" ht="15.75" customHeight="1">
      <c r="A276" s="13">
        <f>weather_data!B276</f>
        <v>46038.36111</v>
      </c>
      <c r="B276" s="14">
        <f t="shared" si="1"/>
        <v>46038</v>
      </c>
      <c r="C276" s="15" t="str">
        <f t="shared" si="2"/>
        <v>2026-01</v>
      </c>
      <c r="D276" s="15">
        <f t="shared" si="3"/>
        <v>1</v>
      </c>
      <c r="E276" s="15" t="str">
        <f t="shared" si="4"/>
        <v>stycznia</v>
      </c>
      <c r="F276" s="15" t="str">
        <f t="shared" si="5"/>
        <v>Q1</v>
      </c>
      <c r="G276" s="15" t="str">
        <f t="shared" si="6"/>
        <v>Winter</v>
      </c>
      <c r="H276" s="16">
        <f>weather_data!E276-weather_data!D276</f>
        <v>-2</v>
      </c>
      <c r="I276" s="15">
        <f>IF(OR(weather_data!H276="light rain",weather_data!H276="moderate rain",weather_data!H276="drizzle",weather_data!H276="thunderstorm"),1,0)</f>
        <v>1</v>
      </c>
      <c r="J276" s="15">
        <f>IF(weather_data!I276&gt;=25,1,0)</f>
        <v>0</v>
      </c>
    </row>
    <row r="277" ht="15.75" customHeight="1">
      <c r="A277" s="13">
        <f>weather_data!B277</f>
        <v>46039.3125</v>
      </c>
      <c r="B277" s="14">
        <f t="shared" si="1"/>
        <v>46039</v>
      </c>
      <c r="C277" s="15" t="str">
        <f t="shared" si="2"/>
        <v>2026-01</v>
      </c>
      <c r="D277" s="15">
        <f t="shared" si="3"/>
        <v>1</v>
      </c>
      <c r="E277" s="15" t="str">
        <f t="shared" si="4"/>
        <v>stycznia</v>
      </c>
      <c r="F277" s="15" t="str">
        <f t="shared" si="5"/>
        <v>Q1</v>
      </c>
      <c r="G277" s="15" t="str">
        <f t="shared" si="6"/>
        <v>Winter</v>
      </c>
      <c r="H277" s="16">
        <f>weather_data!E277-weather_data!D277</f>
        <v>-1.3</v>
      </c>
      <c r="I277" s="15">
        <f>IF(OR(weather_data!H277="light rain",weather_data!H277="moderate rain",weather_data!H277="drizzle",weather_data!H277="thunderstorm"),1,0)</f>
        <v>1</v>
      </c>
      <c r="J277" s="15">
        <f>IF(weather_data!I277&gt;=25,1,0)</f>
        <v>0</v>
      </c>
    </row>
    <row r="278" ht="15.75" customHeight="1">
      <c r="A278" s="13">
        <f>weather_data!B278</f>
        <v>46040.69444</v>
      </c>
      <c r="B278" s="14">
        <f t="shared" si="1"/>
        <v>46040</v>
      </c>
      <c r="C278" s="15" t="str">
        <f t="shared" si="2"/>
        <v>2026-01</v>
      </c>
      <c r="D278" s="15">
        <f t="shared" si="3"/>
        <v>1</v>
      </c>
      <c r="E278" s="15" t="str">
        <f t="shared" si="4"/>
        <v>stycznia</v>
      </c>
      <c r="F278" s="15" t="str">
        <f t="shared" si="5"/>
        <v>Q1</v>
      </c>
      <c r="G278" s="15" t="str">
        <f t="shared" si="6"/>
        <v>Winter</v>
      </c>
      <c r="H278" s="16">
        <f>weather_data!E278-weather_data!D278</f>
        <v>-0.2</v>
      </c>
      <c r="I278" s="15">
        <f>IF(OR(weather_data!H278="light rain",weather_data!H278="moderate rain",weather_data!H278="drizzle",weather_data!H278="thunderstorm"),1,0)</f>
        <v>0</v>
      </c>
      <c r="J278" s="15">
        <f>IF(weather_data!I278&gt;=25,1,0)</f>
        <v>0</v>
      </c>
    </row>
    <row r="279" ht="15.75" customHeight="1">
      <c r="A279" s="13">
        <f>weather_data!B279</f>
        <v>46041.58333</v>
      </c>
      <c r="B279" s="14">
        <f t="shared" si="1"/>
        <v>46041</v>
      </c>
      <c r="C279" s="15" t="str">
        <f t="shared" si="2"/>
        <v>2026-01</v>
      </c>
      <c r="D279" s="15">
        <f t="shared" si="3"/>
        <v>1</v>
      </c>
      <c r="E279" s="15" t="str">
        <f t="shared" si="4"/>
        <v>stycznia</v>
      </c>
      <c r="F279" s="15" t="str">
        <f t="shared" si="5"/>
        <v>Q1</v>
      </c>
      <c r="G279" s="15" t="str">
        <f t="shared" si="6"/>
        <v>Winter</v>
      </c>
      <c r="H279" s="16">
        <f>weather_data!E279-weather_data!D279</f>
        <v>-0.8</v>
      </c>
      <c r="I279" s="15">
        <f>IF(OR(weather_data!H279="light rain",weather_data!H279="moderate rain",weather_data!H279="drizzle",weather_data!H279="thunderstorm"),1,0)</f>
        <v>1</v>
      </c>
      <c r="J279" s="15">
        <f>IF(weather_data!I279&gt;=25,1,0)</f>
        <v>1</v>
      </c>
    </row>
    <row r="280" ht="15.75" customHeight="1">
      <c r="A280" s="13">
        <f>weather_data!B280</f>
        <v>46042.34028</v>
      </c>
      <c r="B280" s="14">
        <f t="shared" si="1"/>
        <v>46042</v>
      </c>
      <c r="C280" s="15" t="str">
        <f t="shared" si="2"/>
        <v>2026-01</v>
      </c>
      <c r="D280" s="15">
        <f t="shared" si="3"/>
        <v>1</v>
      </c>
      <c r="E280" s="15" t="str">
        <f t="shared" si="4"/>
        <v>stycznia</v>
      </c>
      <c r="F280" s="15" t="str">
        <f t="shared" si="5"/>
        <v>Q1</v>
      </c>
      <c r="G280" s="15" t="str">
        <f t="shared" si="6"/>
        <v>Winter</v>
      </c>
      <c r="H280" s="16">
        <f>weather_data!E280-weather_data!D280</f>
        <v>1</v>
      </c>
      <c r="I280" s="15">
        <f>IF(OR(weather_data!H280="light rain",weather_data!H280="moderate rain",weather_data!H280="drizzle",weather_data!H280="thunderstorm"),1,0)</f>
        <v>0</v>
      </c>
      <c r="J280" s="15">
        <f>IF(weather_data!I280&gt;=25,1,0)</f>
        <v>1</v>
      </c>
    </row>
    <row r="281" ht="15.75" customHeight="1">
      <c r="A281" s="13">
        <f>weather_data!B281</f>
        <v>46043.28472</v>
      </c>
      <c r="B281" s="14">
        <f t="shared" si="1"/>
        <v>46043</v>
      </c>
      <c r="C281" s="15" t="str">
        <f t="shared" si="2"/>
        <v>2026-01</v>
      </c>
      <c r="D281" s="15">
        <f t="shared" si="3"/>
        <v>1</v>
      </c>
      <c r="E281" s="15" t="str">
        <f t="shared" si="4"/>
        <v>stycznia</v>
      </c>
      <c r="F281" s="15" t="str">
        <f t="shared" si="5"/>
        <v>Q1</v>
      </c>
      <c r="G281" s="15" t="str">
        <f t="shared" si="6"/>
        <v>Winter</v>
      </c>
      <c r="H281" s="16">
        <f>weather_data!E281-weather_data!D281</f>
        <v>-0.4</v>
      </c>
      <c r="I281" s="15">
        <f>IF(OR(weather_data!H281="light rain",weather_data!H281="moderate rain",weather_data!H281="drizzle",weather_data!H281="thunderstorm"),1,0)</f>
        <v>1</v>
      </c>
      <c r="J281" s="15">
        <f>IF(weather_data!I281&gt;=25,1,0)</f>
        <v>0</v>
      </c>
    </row>
    <row r="282" ht="15.75" customHeight="1">
      <c r="A282" s="13">
        <f>weather_data!B282</f>
        <v>46044.61111</v>
      </c>
      <c r="B282" s="14">
        <f t="shared" si="1"/>
        <v>46044</v>
      </c>
      <c r="C282" s="15" t="str">
        <f t="shared" si="2"/>
        <v>2026-01</v>
      </c>
      <c r="D282" s="15">
        <f t="shared" si="3"/>
        <v>1</v>
      </c>
      <c r="E282" s="15" t="str">
        <f t="shared" si="4"/>
        <v>stycznia</v>
      </c>
      <c r="F282" s="15" t="str">
        <f t="shared" si="5"/>
        <v>Q1</v>
      </c>
      <c r="G282" s="15" t="str">
        <f t="shared" si="6"/>
        <v>Winter</v>
      </c>
      <c r="H282" s="16">
        <f>weather_data!E282-weather_data!D282</f>
        <v>0.1</v>
      </c>
      <c r="I282" s="15">
        <f>IF(OR(weather_data!H282="light rain",weather_data!H282="moderate rain",weather_data!H282="drizzle",weather_data!H282="thunderstorm"),1,0)</f>
        <v>0</v>
      </c>
      <c r="J282" s="15">
        <f>IF(weather_data!I282&gt;=25,1,0)</f>
        <v>0</v>
      </c>
    </row>
    <row r="283" ht="15.75" customHeight="1">
      <c r="A283" s="13">
        <f>weather_data!B283</f>
        <v>46045.29861</v>
      </c>
      <c r="B283" s="14">
        <f t="shared" si="1"/>
        <v>46045</v>
      </c>
      <c r="C283" s="15" t="str">
        <f t="shared" si="2"/>
        <v>2026-01</v>
      </c>
      <c r="D283" s="15">
        <f t="shared" si="3"/>
        <v>1</v>
      </c>
      <c r="E283" s="15" t="str">
        <f t="shared" si="4"/>
        <v>stycznia</v>
      </c>
      <c r="F283" s="15" t="str">
        <f t="shared" si="5"/>
        <v>Q1</v>
      </c>
      <c r="G283" s="15" t="str">
        <f t="shared" si="6"/>
        <v>Winter</v>
      </c>
      <c r="H283" s="16">
        <f>weather_data!E283-weather_data!D283</f>
        <v>-2.4</v>
      </c>
      <c r="I283" s="15">
        <f>IF(OR(weather_data!H283="light rain",weather_data!H283="moderate rain",weather_data!H283="drizzle",weather_data!H283="thunderstorm"),1,0)</f>
        <v>1</v>
      </c>
      <c r="J283" s="15">
        <f>IF(weather_data!I283&gt;=25,1,0)</f>
        <v>1</v>
      </c>
    </row>
    <row r="284" ht="15.75" customHeight="1">
      <c r="A284" s="13">
        <f>weather_data!B284</f>
        <v>46046.90278</v>
      </c>
      <c r="B284" s="14">
        <f t="shared" si="1"/>
        <v>46046</v>
      </c>
      <c r="C284" s="15" t="str">
        <f t="shared" si="2"/>
        <v>2026-01</v>
      </c>
      <c r="D284" s="15">
        <f t="shared" si="3"/>
        <v>1</v>
      </c>
      <c r="E284" s="15" t="str">
        <f t="shared" si="4"/>
        <v>stycznia</v>
      </c>
      <c r="F284" s="15" t="str">
        <f t="shared" si="5"/>
        <v>Q1</v>
      </c>
      <c r="G284" s="15" t="str">
        <f t="shared" si="6"/>
        <v>Winter</v>
      </c>
      <c r="H284" s="16">
        <f>weather_data!E284-weather_data!D284</f>
        <v>0.3</v>
      </c>
      <c r="I284" s="15">
        <f>IF(OR(weather_data!H284="light rain",weather_data!H284="moderate rain",weather_data!H284="drizzle",weather_data!H284="thunderstorm"),1,0)</f>
        <v>0</v>
      </c>
      <c r="J284" s="15">
        <f>IF(weather_data!I284&gt;=25,1,0)</f>
        <v>0</v>
      </c>
    </row>
    <row r="285" ht="15.75" customHeight="1">
      <c r="A285" s="13">
        <f>weather_data!B285</f>
        <v>46047.84722</v>
      </c>
      <c r="B285" s="14">
        <f t="shared" si="1"/>
        <v>46047</v>
      </c>
      <c r="C285" s="15" t="str">
        <f t="shared" si="2"/>
        <v>2026-01</v>
      </c>
      <c r="D285" s="15">
        <f t="shared" si="3"/>
        <v>1</v>
      </c>
      <c r="E285" s="15" t="str">
        <f t="shared" si="4"/>
        <v>stycznia</v>
      </c>
      <c r="F285" s="15" t="str">
        <f t="shared" si="5"/>
        <v>Q1</v>
      </c>
      <c r="G285" s="15" t="str">
        <f t="shared" si="6"/>
        <v>Winter</v>
      </c>
      <c r="H285" s="16">
        <f>weather_data!E285-weather_data!D285</f>
        <v>-0.7</v>
      </c>
      <c r="I285" s="15">
        <f>IF(OR(weather_data!H285="light rain",weather_data!H285="moderate rain",weather_data!H285="drizzle",weather_data!H285="thunderstorm"),1,0)</f>
        <v>0</v>
      </c>
      <c r="J285" s="15">
        <f>IF(weather_data!I285&gt;=25,1,0)</f>
        <v>0</v>
      </c>
    </row>
    <row r="286" ht="15.75" customHeight="1">
      <c r="A286" s="13">
        <f>weather_data!B286</f>
        <v>46048.48611</v>
      </c>
      <c r="B286" s="14">
        <f t="shared" si="1"/>
        <v>46048</v>
      </c>
      <c r="C286" s="15" t="str">
        <f t="shared" si="2"/>
        <v>2026-01</v>
      </c>
      <c r="D286" s="15">
        <f t="shared" si="3"/>
        <v>1</v>
      </c>
      <c r="E286" s="15" t="str">
        <f t="shared" si="4"/>
        <v>stycznia</v>
      </c>
      <c r="F286" s="15" t="str">
        <f t="shared" si="5"/>
        <v>Q1</v>
      </c>
      <c r="G286" s="15" t="str">
        <f t="shared" si="6"/>
        <v>Winter</v>
      </c>
      <c r="H286" s="16">
        <f>weather_data!E286-weather_data!D286</f>
        <v>-1.9</v>
      </c>
      <c r="I286" s="15">
        <f>IF(OR(weather_data!H286="light rain",weather_data!H286="moderate rain",weather_data!H286="drizzle",weather_data!H286="thunderstorm"),1,0)</f>
        <v>0</v>
      </c>
      <c r="J286" s="15">
        <f>IF(weather_data!I286&gt;=25,1,0)</f>
        <v>0</v>
      </c>
    </row>
    <row r="287" ht="15.75" customHeight="1">
      <c r="A287" s="13">
        <f>weather_data!B287</f>
        <v>46049.82639</v>
      </c>
      <c r="B287" s="14">
        <f t="shared" si="1"/>
        <v>46049</v>
      </c>
      <c r="C287" s="15" t="str">
        <f t="shared" si="2"/>
        <v>2026-01</v>
      </c>
      <c r="D287" s="15">
        <f t="shared" si="3"/>
        <v>1</v>
      </c>
      <c r="E287" s="15" t="str">
        <f t="shared" si="4"/>
        <v>stycznia</v>
      </c>
      <c r="F287" s="15" t="str">
        <f t="shared" si="5"/>
        <v>Q1</v>
      </c>
      <c r="G287" s="15" t="str">
        <f t="shared" si="6"/>
        <v>Winter</v>
      </c>
      <c r="H287" s="16">
        <f>weather_data!E287-weather_data!D287</f>
        <v>1.1</v>
      </c>
      <c r="I287" s="15">
        <f>IF(OR(weather_data!H287="light rain",weather_data!H287="moderate rain",weather_data!H287="drizzle",weather_data!H287="thunderstorm"),1,0)</f>
        <v>0</v>
      </c>
      <c r="J287" s="15">
        <f>IF(weather_data!I287&gt;=25,1,0)</f>
        <v>0</v>
      </c>
    </row>
    <row r="288" ht="15.75" customHeight="1">
      <c r="A288" s="13">
        <f>weather_data!B288</f>
        <v>46050.875</v>
      </c>
      <c r="B288" s="14">
        <f t="shared" si="1"/>
        <v>46050</v>
      </c>
      <c r="C288" s="15" t="str">
        <f t="shared" si="2"/>
        <v>2026-01</v>
      </c>
      <c r="D288" s="15">
        <f t="shared" si="3"/>
        <v>1</v>
      </c>
      <c r="E288" s="15" t="str">
        <f t="shared" si="4"/>
        <v>stycznia</v>
      </c>
      <c r="F288" s="15" t="str">
        <f t="shared" si="5"/>
        <v>Q1</v>
      </c>
      <c r="G288" s="15" t="str">
        <f t="shared" si="6"/>
        <v>Winter</v>
      </c>
      <c r="H288" s="16">
        <f>weather_data!E288-weather_data!D288</f>
        <v>0.2</v>
      </c>
      <c r="I288" s="15">
        <f>IF(OR(weather_data!H288="light rain",weather_data!H288="moderate rain",weather_data!H288="drizzle",weather_data!H288="thunderstorm"),1,0)</f>
        <v>0</v>
      </c>
      <c r="J288" s="15">
        <f>IF(weather_data!I288&gt;=25,1,0)</f>
        <v>0</v>
      </c>
    </row>
    <row r="289" ht="15.75" customHeight="1">
      <c r="A289" s="13">
        <f>weather_data!B289</f>
        <v>46051.88889</v>
      </c>
      <c r="B289" s="14">
        <f t="shared" si="1"/>
        <v>46051</v>
      </c>
      <c r="C289" s="15" t="str">
        <f t="shared" si="2"/>
        <v>2026-01</v>
      </c>
      <c r="D289" s="15">
        <f t="shared" si="3"/>
        <v>1</v>
      </c>
      <c r="E289" s="15" t="str">
        <f t="shared" si="4"/>
        <v>stycznia</v>
      </c>
      <c r="F289" s="15" t="str">
        <f t="shared" si="5"/>
        <v>Q1</v>
      </c>
      <c r="G289" s="15" t="str">
        <f t="shared" si="6"/>
        <v>Winter</v>
      </c>
      <c r="H289" s="16">
        <f>weather_data!E289-weather_data!D289</f>
        <v>0.6</v>
      </c>
      <c r="I289" s="15">
        <f>IF(OR(weather_data!H289="light rain",weather_data!H289="moderate rain",weather_data!H289="drizzle",weather_data!H289="thunderstorm"),1,0)</f>
        <v>0</v>
      </c>
      <c r="J289" s="15">
        <f>IF(weather_data!I289&gt;=25,1,0)</f>
        <v>0</v>
      </c>
    </row>
    <row r="290" ht="15.75" customHeight="1">
      <c r="A290" s="13">
        <f>weather_data!B290</f>
        <v>46052.80556</v>
      </c>
      <c r="B290" s="14">
        <f t="shared" si="1"/>
        <v>46052</v>
      </c>
      <c r="C290" s="15" t="str">
        <f t="shared" si="2"/>
        <v>2026-01</v>
      </c>
      <c r="D290" s="15">
        <f t="shared" si="3"/>
        <v>1</v>
      </c>
      <c r="E290" s="15" t="str">
        <f t="shared" si="4"/>
        <v>stycznia</v>
      </c>
      <c r="F290" s="15" t="str">
        <f t="shared" si="5"/>
        <v>Q1</v>
      </c>
      <c r="G290" s="15" t="str">
        <f t="shared" si="6"/>
        <v>Winter</v>
      </c>
      <c r="H290" s="16">
        <f>weather_data!E290-weather_data!D290</f>
        <v>-0.6</v>
      </c>
      <c r="I290" s="15">
        <f>IF(OR(weather_data!H290="light rain",weather_data!H290="moderate rain",weather_data!H290="drizzle",weather_data!H290="thunderstorm"),1,0)</f>
        <v>0</v>
      </c>
      <c r="J290" s="15">
        <f>IF(weather_data!I290&gt;=25,1,0)</f>
        <v>0</v>
      </c>
    </row>
    <row r="291" ht="15.75" customHeight="1">
      <c r="A291" s="13">
        <f>weather_data!B291</f>
        <v>46053.70139</v>
      </c>
      <c r="B291" s="14">
        <f t="shared" si="1"/>
        <v>46053</v>
      </c>
      <c r="C291" s="15" t="str">
        <f t="shared" si="2"/>
        <v>2026-01</v>
      </c>
      <c r="D291" s="15">
        <f t="shared" si="3"/>
        <v>1</v>
      </c>
      <c r="E291" s="15" t="str">
        <f t="shared" si="4"/>
        <v>stycznia</v>
      </c>
      <c r="F291" s="15" t="str">
        <f t="shared" si="5"/>
        <v>Q1</v>
      </c>
      <c r="G291" s="15" t="str">
        <f t="shared" si="6"/>
        <v>Winter</v>
      </c>
      <c r="H291" s="16">
        <f>weather_data!E291-weather_data!D291</f>
        <v>-1.8</v>
      </c>
      <c r="I291" s="15">
        <f>IF(OR(weather_data!H291="light rain",weather_data!H291="moderate rain",weather_data!H291="drizzle",weather_data!H291="thunderstorm"),1,0)</f>
        <v>0</v>
      </c>
      <c r="J291" s="15">
        <f>IF(weather_data!I291&gt;=25,1,0)</f>
        <v>0</v>
      </c>
    </row>
    <row r="292" ht="15.75" customHeight="1">
      <c r="A292" s="13">
        <f>weather_data!B292</f>
        <v>46054.38194</v>
      </c>
      <c r="B292" s="14">
        <f t="shared" si="1"/>
        <v>46054</v>
      </c>
      <c r="C292" s="15" t="str">
        <f t="shared" si="2"/>
        <v>2026-02</v>
      </c>
      <c r="D292" s="15">
        <f t="shared" si="3"/>
        <v>2</v>
      </c>
      <c r="E292" s="15" t="str">
        <f t="shared" si="4"/>
        <v>lutego</v>
      </c>
      <c r="F292" s="15" t="str">
        <f t="shared" si="5"/>
        <v>Q1</v>
      </c>
      <c r="G292" s="15" t="str">
        <f t="shared" si="6"/>
        <v>Winter</v>
      </c>
      <c r="H292" s="16">
        <f>weather_data!E292-weather_data!D292</f>
        <v>-1</v>
      </c>
      <c r="I292" s="15">
        <f>IF(OR(weather_data!H292="light rain",weather_data!H292="moderate rain",weather_data!H292="drizzle",weather_data!H292="thunderstorm"),1,0)</f>
        <v>0</v>
      </c>
      <c r="J292" s="15">
        <f>IF(weather_data!I292&gt;=25,1,0)</f>
        <v>0</v>
      </c>
    </row>
    <row r="293" ht="15.75" customHeight="1">
      <c r="A293" s="13">
        <f>weather_data!B293</f>
        <v>46055.6875</v>
      </c>
      <c r="B293" s="14">
        <f t="shared" si="1"/>
        <v>46055</v>
      </c>
      <c r="C293" s="15" t="str">
        <f t="shared" si="2"/>
        <v>2026-02</v>
      </c>
      <c r="D293" s="15">
        <f t="shared" si="3"/>
        <v>2</v>
      </c>
      <c r="E293" s="15" t="str">
        <f t="shared" si="4"/>
        <v>lutego</v>
      </c>
      <c r="F293" s="15" t="str">
        <f t="shared" si="5"/>
        <v>Q1</v>
      </c>
      <c r="G293" s="15" t="str">
        <f t="shared" si="6"/>
        <v>Winter</v>
      </c>
      <c r="H293" s="16">
        <f>weather_data!E293-weather_data!D293</f>
        <v>0.8</v>
      </c>
      <c r="I293" s="15">
        <f>IF(OR(weather_data!H293="light rain",weather_data!H293="moderate rain",weather_data!H293="drizzle",weather_data!H293="thunderstorm"),1,0)</f>
        <v>0</v>
      </c>
      <c r="J293" s="15">
        <f>IF(weather_data!I293&gt;=25,1,0)</f>
        <v>0</v>
      </c>
    </row>
    <row r="294" ht="15.75" customHeight="1">
      <c r="A294" s="13">
        <f>weather_data!B294</f>
        <v>46056.88889</v>
      </c>
      <c r="B294" s="14">
        <f t="shared" si="1"/>
        <v>46056</v>
      </c>
      <c r="C294" s="15" t="str">
        <f t="shared" si="2"/>
        <v>2026-02</v>
      </c>
      <c r="D294" s="15">
        <f t="shared" si="3"/>
        <v>2</v>
      </c>
      <c r="E294" s="15" t="str">
        <f t="shared" si="4"/>
        <v>lutego</v>
      </c>
      <c r="F294" s="15" t="str">
        <f t="shared" si="5"/>
        <v>Q1</v>
      </c>
      <c r="G294" s="15" t="str">
        <f t="shared" si="6"/>
        <v>Winter</v>
      </c>
      <c r="H294" s="16">
        <f>weather_data!E294-weather_data!D294</f>
        <v>-0.4</v>
      </c>
      <c r="I294" s="15">
        <f>IF(OR(weather_data!H294="light rain",weather_data!H294="moderate rain",weather_data!H294="drizzle",weather_data!H294="thunderstorm"),1,0)</f>
        <v>0</v>
      </c>
      <c r="J294" s="15">
        <f>IF(weather_data!I294&gt;=25,1,0)</f>
        <v>0</v>
      </c>
    </row>
    <row r="295" ht="15.75" customHeight="1">
      <c r="A295" s="13">
        <f>weather_data!B295</f>
        <v>46057.77778</v>
      </c>
      <c r="B295" s="14">
        <f t="shared" si="1"/>
        <v>46057</v>
      </c>
      <c r="C295" s="15" t="str">
        <f t="shared" si="2"/>
        <v>2026-02</v>
      </c>
      <c r="D295" s="15">
        <f t="shared" si="3"/>
        <v>2</v>
      </c>
      <c r="E295" s="15" t="str">
        <f t="shared" si="4"/>
        <v>lutego</v>
      </c>
      <c r="F295" s="15" t="str">
        <f t="shared" si="5"/>
        <v>Q1</v>
      </c>
      <c r="G295" s="15" t="str">
        <f t="shared" si="6"/>
        <v>Winter</v>
      </c>
      <c r="H295" s="16">
        <f>weather_data!E295-weather_data!D295</f>
        <v>-0.5</v>
      </c>
      <c r="I295" s="15">
        <f>IF(OR(weather_data!H295="light rain",weather_data!H295="moderate rain",weather_data!H295="drizzle",weather_data!H295="thunderstorm"),1,0)</f>
        <v>0</v>
      </c>
      <c r="J295" s="15">
        <f>IF(weather_data!I295&gt;=25,1,0)</f>
        <v>0</v>
      </c>
    </row>
    <row r="296" ht="15.75" customHeight="1">
      <c r="A296" s="13">
        <f>weather_data!B296</f>
        <v>46058.3125</v>
      </c>
      <c r="B296" s="14">
        <f t="shared" si="1"/>
        <v>46058</v>
      </c>
      <c r="C296" s="15" t="str">
        <f t="shared" si="2"/>
        <v>2026-02</v>
      </c>
      <c r="D296" s="15">
        <f t="shared" si="3"/>
        <v>2</v>
      </c>
      <c r="E296" s="15" t="str">
        <f t="shared" si="4"/>
        <v>lutego</v>
      </c>
      <c r="F296" s="15" t="str">
        <f t="shared" si="5"/>
        <v>Q1</v>
      </c>
      <c r="G296" s="15" t="str">
        <f t="shared" si="6"/>
        <v>Winter</v>
      </c>
      <c r="H296" s="16">
        <f>weather_data!E296-weather_data!D296</f>
        <v>-1.9</v>
      </c>
      <c r="I296" s="15">
        <f>IF(OR(weather_data!H296="light rain",weather_data!H296="moderate rain",weather_data!H296="drizzle",weather_data!H296="thunderstorm"),1,0)</f>
        <v>0</v>
      </c>
      <c r="J296" s="15">
        <f>IF(weather_data!I296&gt;=25,1,0)</f>
        <v>0</v>
      </c>
    </row>
    <row r="297" ht="15.75" customHeight="1">
      <c r="A297" s="13">
        <f>weather_data!B297</f>
        <v>46059.34722</v>
      </c>
      <c r="B297" s="14">
        <f t="shared" si="1"/>
        <v>46059</v>
      </c>
      <c r="C297" s="15" t="str">
        <f t="shared" si="2"/>
        <v>2026-02</v>
      </c>
      <c r="D297" s="15">
        <f t="shared" si="3"/>
        <v>2</v>
      </c>
      <c r="E297" s="15" t="str">
        <f t="shared" si="4"/>
        <v>lutego</v>
      </c>
      <c r="F297" s="15" t="str">
        <f t="shared" si="5"/>
        <v>Q1</v>
      </c>
      <c r="G297" s="15" t="str">
        <f t="shared" si="6"/>
        <v>Winter</v>
      </c>
      <c r="H297" s="16">
        <f>weather_data!E297-weather_data!D297</f>
        <v>-1.9</v>
      </c>
      <c r="I297" s="15">
        <f>IF(OR(weather_data!H297="light rain",weather_data!H297="moderate rain",weather_data!H297="drizzle",weather_data!H297="thunderstorm"),1,0)</f>
        <v>0</v>
      </c>
      <c r="J297" s="15">
        <f>IF(weather_data!I297&gt;=25,1,0)</f>
        <v>0</v>
      </c>
    </row>
    <row r="298" ht="15.75" customHeight="1">
      <c r="A298" s="13">
        <f>weather_data!B298</f>
        <v>46060.59722</v>
      </c>
      <c r="B298" s="14">
        <f t="shared" si="1"/>
        <v>46060</v>
      </c>
      <c r="C298" s="15" t="str">
        <f t="shared" si="2"/>
        <v>2026-02</v>
      </c>
      <c r="D298" s="15">
        <f t="shared" si="3"/>
        <v>2</v>
      </c>
      <c r="E298" s="15" t="str">
        <f t="shared" si="4"/>
        <v>lutego</v>
      </c>
      <c r="F298" s="15" t="str">
        <f t="shared" si="5"/>
        <v>Q1</v>
      </c>
      <c r="G298" s="15" t="str">
        <f t="shared" si="6"/>
        <v>Winter</v>
      </c>
      <c r="H298" s="16">
        <f>weather_data!E298-weather_data!D298</f>
        <v>-1.1</v>
      </c>
      <c r="I298" s="15">
        <f>IF(OR(weather_data!H298="light rain",weather_data!H298="moderate rain",weather_data!H298="drizzle",weather_data!H298="thunderstorm"),1,0)</f>
        <v>0</v>
      </c>
      <c r="J298" s="15">
        <f>IF(weather_data!I298&gt;=25,1,0)</f>
        <v>1</v>
      </c>
    </row>
    <row r="299" ht="15.75" customHeight="1">
      <c r="A299" s="13">
        <f>weather_data!B299</f>
        <v>46061.39583</v>
      </c>
      <c r="B299" s="14">
        <f t="shared" si="1"/>
        <v>46061</v>
      </c>
      <c r="C299" s="15" t="str">
        <f t="shared" si="2"/>
        <v>2026-02</v>
      </c>
      <c r="D299" s="15">
        <f t="shared" si="3"/>
        <v>2</v>
      </c>
      <c r="E299" s="15" t="str">
        <f t="shared" si="4"/>
        <v>lutego</v>
      </c>
      <c r="F299" s="15" t="str">
        <f t="shared" si="5"/>
        <v>Q1</v>
      </c>
      <c r="G299" s="15" t="str">
        <f t="shared" si="6"/>
        <v>Winter</v>
      </c>
      <c r="H299" s="16">
        <f>weather_data!E299-weather_data!D299</f>
        <v>-1.1</v>
      </c>
      <c r="I299" s="15">
        <f>IF(OR(weather_data!H299="light rain",weather_data!H299="moderate rain",weather_data!H299="drizzle",weather_data!H299="thunderstorm"),1,0)</f>
        <v>1</v>
      </c>
      <c r="J299" s="15">
        <f>IF(weather_data!I299&gt;=25,1,0)</f>
        <v>0</v>
      </c>
    </row>
    <row r="300" ht="15.75" customHeight="1">
      <c r="A300" s="13">
        <f>weather_data!B300</f>
        <v>46062.28472</v>
      </c>
      <c r="B300" s="14">
        <f t="shared" si="1"/>
        <v>46062</v>
      </c>
      <c r="C300" s="15" t="str">
        <f t="shared" si="2"/>
        <v>2026-02</v>
      </c>
      <c r="D300" s="15">
        <f t="shared" si="3"/>
        <v>2</v>
      </c>
      <c r="E300" s="15" t="str">
        <f t="shared" si="4"/>
        <v>lutego</v>
      </c>
      <c r="F300" s="15" t="str">
        <f t="shared" si="5"/>
        <v>Q1</v>
      </c>
      <c r="G300" s="15" t="str">
        <f t="shared" si="6"/>
        <v>Winter</v>
      </c>
      <c r="H300" s="16">
        <f>weather_data!E300-weather_data!D300</f>
        <v>-1</v>
      </c>
      <c r="I300" s="15">
        <f>IF(OR(weather_data!H300="light rain",weather_data!H300="moderate rain",weather_data!H300="drizzle",weather_data!H300="thunderstorm"),1,0)</f>
        <v>0</v>
      </c>
      <c r="J300" s="15">
        <f>IF(weather_data!I300&gt;=25,1,0)</f>
        <v>0</v>
      </c>
    </row>
    <row r="301" ht="15.75" customHeight="1">
      <c r="A301" s="13">
        <f>weather_data!B301</f>
        <v>46063.85417</v>
      </c>
      <c r="B301" s="14">
        <f t="shared" si="1"/>
        <v>46063</v>
      </c>
      <c r="C301" s="15" t="str">
        <f t="shared" si="2"/>
        <v>2026-02</v>
      </c>
      <c r="D301" s="15">
        <f t="shared" si="3"/>
        <v>2</v>
      </c>
      <c r="E301" s="15" t="str">
        <f t="shared" si="4"/>
        <v>lutego</v>
      </c>
      <c r="F301" s="15" t="str">
        <f t="shared" si="5"/>
        <v>Q1</v>
      </c>
      <c r="G301" s="15" t="str">
        <f t="shared" si="6"/>
        <v>Winter</v>
      </c>
      <c r="H301" s="16">
        <f>weather_data!E301-weather_data!D301</f>
        <v>-2</v>
      </c>
      <c r="I301" s="15">
        <f>IF(OR(weather_data!H301="light rain",weather_data!H301="moderate rain",weather_data!H301="drizzle",weather_data!H301="thunderstorm"),1,0)</f>
        <v>1</v>
      </c>
      <c r="J301" s="15">
        <f>IF(weather_data!I301&gt;=25,1,0)</f>
        <v>0</v>
      </c>
    </row>
    <row r="302" ht="15.75" customHeight="1">
      <c r="A302" s="13">
        <f>weather_data!B302</f>
        <v>46064.29861</v>
      </c>
      <c r="B302" s="14">
        <f t="shared" si="1"/>
        <v>46064</v>
      </c>
      <c r="C302" s="15" t="str">
        <f t="shared" si="2"/>
        <v>2026-02</v>
      </c>
      <c r="D302" s="15">
        <f t="shared" si="3"/>
        <v>2</v>
      </c>
      <c r="E302" s="15" t="str">
        <f t="shared" si="4"/>
        <v>lutego</v>
      </c>
      <c r="F302" s="15" t="str">
        <f t="shared" si="5"/>
        <v>Q1</v>
      </c>
      <c r="G302" s="15" t="str">
        <f t="shared" si="6"/>
        <v>Winter</v>
      </c>
      <c r="H302" s="16">
        <f>weather_data!E302-weather_data!D302</f>
        <v>-0.6</v>
      </c>
      <c r="I302" s="15">
        <f>IF(OR(weather_data!H302="light rain",weather_data!H302="moderate rain",weather_data!H302="drizzle",weather_data!H302="thunderstorm"),1,0)</f>
        <v>0</v>
      </c>
      <c r="J302" s="15">
        <f>IF(weather_data!I302&gt;=25,1,0)</f>
        <v>0</v>
      </c>
    </row>
    <row r="303" ht="15.75" customHeight="1">
      <c r="A303" s="13">
        <f>weather_data!B303</f>
        <v>46065.73611</v>
      </c>
      <c r="B303" s="14">
        <f t="shared" si="1"/>
        <v>46065</v>
      </c>
      <c r="C303" s="15" t="str">
        <f t="shared" si="2"/>
        <v>2026-02</v>
      </c>
      <c r="D303" s="15">
        <f t="shared" si="3"/>
        <v>2</v>
      </c>
      <c r="E303" s="15" t="str">
        <f t="shared" si="4"/>
        <v>lutego</v>
      </c>
      <c r="F303" s="15" t="str">
        <f t="shared" si="5"/>
        <v>Q1</v>
      </c>
      <c r="G303" s="15" t="str">
        <f t="shared" si="6"/>
        <v>Winter</v>
      </c>
      <c r="H303" s="16">
        <f>weather_data!E303-weather_data!D303</f>
        <v>-0.3</v>
      </c>
      <c r="I303" s="15">
        <f>IF(OR(weather_data!H303="light rain",weather_data!H303="moderate rain",weather_data!H303="drizzle",weather_data!H303="thunderstorm"),1,0)</f>
        <v>0</v>
      </c>
      <c r="J303" s="15">
        <f>IF(weather_data!I303&gt;=25,1,0)</f>
        <v>0</v>
      </c>
    </row>
    <row r="304" ht="15.75" customHeight="1">
      <c r="A304" s="13">
        <f>weather_data!B304</f>
        <v>46066.90972</v>
      </c>
      <c r="B304" s="14">
        <f t="shared" si="1"/>
        <v>46066</v>
      </c>
      <c r="C304" s="15" t="str">
        <f t="shared" si="2"/>
        <v>2026-02</v>
      </c>
      <c r="D304" s="15">
        <f t="shared" si="3"/>
        <v>2</v>
      </c>
      <c r="E304" s="15" t="str">
        <f t="shared" si="4"/>
        <v>lutego</v>
      </c>
      <c r="F304" s="15" t="str">
        <f t="shared" si="5"/>
        <v>Q1</v>
      </c>
      <c r="G304" s="15" t="str">
        <f t="shared" si="6"/>
        <v>Winter</v>
      </c>
      <c r="H304" s="16">
        <f>weather_data!E304-weather_data!D304</f>
        <v>1.1</v>
      </c>
      <c r="I304" s="15">
        <f>IF(OR(weather_data!H304="light rain",weather_data!H304="moderate rain",weather_data!H304="drizzle",weather_data!H304="thunderstorm"),1,0)</f>
        <v>1</v>
      </c>
      <c r="J304" s="15">
        <f>IF(weather_data!I304&gt;=25,1,0)</f>
        <v>1</v>
      </c>
    </row>
    <row r="305" ht="15.75" customHeight="1">
      <c r="A305" s="13">
        <f>weather_data!B305</f>
        <v>46067.83333</v>
      </c>
      <c r="B305" s="14">
        <f t="shared" si="1"/>
        <v>46067</v>
      </c>
      <c r="C305" s="15" t="str">
        <f t="shared" si="2"/>
        <v>2026-02</v>
      </c>
      <c r="D305" s="15">
        <f t="shared" si="3"/>
        <v>2</v>
      </c>
      <c r="E305" s="15" t="str">
        <f t="shared" si="4"/>
        <v>lutego</v>
      </c>
      <c r="F305" s="15" t="str">
        <f t="shared" si="5"/>
        <v>Q1</v>
      </c>
      <c r="G305" s="15" t="str">
        <f t="shared" si="6"/>
        <v>Winter</v>
      </c>
      <c r="H305" s="16">
        <f>weather_data!E305-weather_data!D305</f>
        <v>-0.1</v>
      </c>
      <c r="I305" s="15">
        <f>IF(OR(weather_data!H305="light rain",weather_data!H305="moderate rain",weather_data!H305="drizzle",weather_data!H305="thunderstorm"),1,0)</f>
        <v>0</v>
      </c>
      <c r="J305" s="15">
        <f>IF(weather_data!I305&gt;=25,1,0)</f>
        <v>0</v>
      </c>
    </row>
    <row r="306" ht="15.75" customHeight="1">
      <c r="A306" s="13">
        <f>weather_data!B306</f>
        <v>46068.51389</v>
      </c>
      <c r="B306" s="14">
        <f t="shared" si="1"/>
        <v>46068</v>
      </c>
      <c r="C306" s="15" t="str">
        <f t="shared" si="2"/>
        <v>2026-02</v>
      </c>
      <c r="D306" s="15">
        <f t="shared" si="3"/>
        <v>2</v>
      </c>
      <c r="E306" s="15" t="str">
        <f t="shared" si="4"/>
        <v>lutego</v>
      </c>
      <c r="F306" s="15" t="str">
        <f t="shared" si="5"/>
        <v>Q1</v>
      </c>
      <c r="G306" s="15" t="str">
        <f t="shared" si="6"/>
        <v>Winter</v>
      </c>
      <c r="H306" s="16">
        <f>weather_data!E306-weather_data!D306</f>
        <v>-0.9</v>
      </c>
      <c r="I306" s="15">
        <f>IF(OR(weather_data!H306="light rain",weather_data!H306="moderate rain",weather_data!H306="drizzle",weather_data!H306="thunderstorm"),1,0)</f>
        <v>0</v>
      </c>
      <c r="J306" s="15">
        <f>IF(weather_data!I306&gt;=25,1,0)</f>
        <v>0</v>
      </c>
    </row>
    <row r="307" ht="15.75" customHeight="1">
      <c r="A307" s="13">
        <f>weather_data!B307</f>
        <v>46069.43056</v>
      </c>
      <c r="B307" s="14">
        <f t="shared" si="1"/>
        <v>46069</v>
      </c>
      <c r="C307" s="15" t="str">
        <f t="shared" si="2"/>
        <v>2026-02</v>
      </c>
      <c r="D307" s="15">
        <f t="shared" si="3"/>
        <v>2</v>
      </c>
      <c r="E307" s="15" t="str">
        <f t="shared" si="4"/>
        <v>lutego</v>
      </c>
      <c r="F307" s="15" t="str">
        <f t="shared" si="5"/>
        <v>Q1</v>
      </c>
      <c r="G307" s="15" t="str">
        <f t="shared" si="6"/>
        <v>Winter</v>
      </c>
      <c r="H307" s="16">
        <f>weather_data!E307-weather_data!D307</f>
        <v>-0.5</v>
      </c>
      <c r="I307" s="15">
        <f>IF(OR(weather_data!H307="light rain",weather_data!H307="moderate rain",weather_data!H307="drizzle",weather_data!H307="thunderstorm"),1,0)</f>
        <v>1</v>
      </c>
      <c r="J307" s="15">
        <f>IF(weather_data!I307&gt;=25,1,0)</f>
        <v>0</v>
      </c>
    </row>
    <row r="308" ht="15.75" customHeight="1">
      <c r="A308" s="13">
        <f>weather_data!B308</f>
        <v>46070.86806</v>
      </c>
      <c r="B308" s="14">
        <f t="shared" si="1"/>
        <v>46070</v>
      </c>
      <c r="C308" s="15" t="str">
        <f t="shared" si="2"/>
        <v>2026-02</v>
      </c>
      <c r="D308" s="15">
        <f t="shared" si="3"/>
        <v>2</v>
      </c>
      <c r="E308" s="15" t="str">
        <f t="shared" si="4"/>
        <v>lutego</v>
      </c>
      <c r="F308" s="15" t="str">
        <f t="shared" si="5"/>
        <v>Q1</v>
      </c>
      <c r="G308" s="15" t="str">
        <f t="shared" si="6"/>
        <v>Winter</v>
      </c>
      <c r="H308" s="16">
        <f>weather_data!E308-weather_data!D308</f>
        <v>-0.1</v>
      </c>
      <c r="I308" s="15">
        <f>IF(OR(weather_data!H308="light rain",weather_data!H308="moderate rain",weather_data!H308="drizzle",weather_data!H308="thunderstorm"),1,0)</f>
        <v>0</v>
      </c>
      <c r="J308" s="15">
        <f>IF(weather_data!I308&gt;=25,1,0)</f>
        <v>0</v>
      </c>
    </row>
    <row r="309" ht="15.75" customHeight="1">
      <c r="A309" s="13">
        <f>weather_data!B309</f>
        <v>46072.875</v>
      </c>
      <c r="B309" s="14">
        <f t="shared" si="1"/>
        <v>46072</v>
      </c>
      <c r="C309" s="15" t="str">
        <f t="shared" si="2"/>
        <v>2026-02</v>
      </c>
      <c r="D309" s="15">
        <f t="shared" si="3"/>
        <v>2</v>
      </c>
      <c r="E309" s="15" t="str">
        <f t="shared" si="4"/>
        <v>lutego</v>
      </c>
      <c r="F309" s="15" t="str">
        <f t="shared" si="5"/>
        <v>Q1</v>
      </c>
      <c r="G309" s="15" t="str">
        <f t="shared" si="6"/>
        <v>Winter</v>
      </c>
      <c r="H309" s="16">
        <f>weather_data!E309-weather_data!D309</f>
        <v>0</v>
      </c>
      <c r="I309" s="15">
        <f>IF(OR(weather_data!H309="light rain",weather_data!H309="moderate rain",weather_data!H309="drizzle",weather_data!H309="thunderstorm"),1,0)</f>
        <v>0</v>
      </c>
      <c r="J309" s="15">
        <f>IF(weather_data!I309&gt;=25,1,0)</f>
        <v>0</v>
      </c>
    </row>
    <row r="310" ht="15.75" customHeight="1">
      <c r="A310" s="13">
        <f>weather_data!B310</f>
        <v>46073.28472</v>
      </c>
      <c r="B310" s="14">
        <f t="shared" si="1"/>
        <v>46073</v>
      </c>
      <c r="C310" s="15" t="str">
        <f t="shared" si="2"/>
        <v>2026-02</v>
      </c>
      <c r="D310" s="15">
        <f t="shared" si="3"/>
        <v>2</v>
      </c>
      <c r="E310" s="15" t="str">
        <f t="shared" si="4"/>
        <v>lutego</v>
      </c>
      <c r="F310" s="15" t="str">
        <f t="shared" si="5"/>
        <v>Q1</v>
      </c>
      <c r="G310" s="15" t="str">
        <f t="shared" si="6"/>
        <v>Winter</v>
      </c>
      <c r="H310" s="16">
        <f>weather_data!E310-weather_data!D310</f>
        <v>-0.7</v>
      </c>
      <c r="I310" s="15">
        <f>IF(OR(weather_data!H310="light rain",weather_data!H310="moderate rain",weather_data!H310="drizzle",weather_data!H310="thunderstorm"),1,0)</f>
        <v>0</v>
      </c>
      <c r="J310" s="15">
        <f>IF(weather_data!I310&gt;=25,1,0)</f>
        <v>0</v>
      </c>
    </row>
    <row r="311" ht="15.75" customHeight="1">
      <c r="A311" s="13">
        <f>weather_data!B311</f>
        <v>46074.57639</v>
      </c>
      <c r="B311" s="14">
        <f t="shared" si="1"/>
        <v>46074</v>
      </c>
      <c r="C311" s="15" t="str">
        <f t="shared" si="2"/>
        <v>2026-02</v>
      </c>
      <c r="D311" s="15">
        <f t="shared" si="3"/>
        <v>2</v>
      </c>
      <c r="E311" s="15" t="str">
        <f t="shared" si="4"/>
        <v>lutego</v>
      </c>
      <c r="F311" s="15" t="str">
        <f t="shared" si="5"/>
        <v>Q1</v>
      </c>
      <c r="G311" s="15" t="str">
        <f t="shared" si="6"/>
        <v>Winter</v>
      </c>
      <c r="H311" s="16">
        <f>weather_data!E311-weather_data!D311</f>
        <v>0.4</v>
      </c>
      <c r="I311" s="15">
        <f>IF(OR(weather_data!H311="light rain",weather_data!H311="moderate rain",weather_data!H311="drizzle",weather_data!H311="thunderstorm"),1,0)</f>
        <v>0</v>
      </c>
      <c r="J311" s="15">
        <f>IF(weather_data!I311&gt;=25,1,0)</f>
        <v>0</v>
      </c>
    </row>
    <row r="312" ht="15.75" customHeight="1">
      <c r="A312" s="13">
        <f>weather_data!B312</f>
        <v>46075.47222</v>
      </c>
      <c r="B312" s="14">
        <f t="shared" si="1"/>
        <v>46075</v>
      </c>
      <c r="C312" s="15" t="str">
        <f t="shared" si="2"/>
        <v>2026-02</v>
      </c>
      <c r="D312" s="15">
        <f t="shared" si="3"/>
        <v>2</v>
      </c>
      <c r="E312" s="15" t="str">
        <f t="shared" si="4"/>
        <v>lutego</v>
      </c>
      <c r="F312" s="15" t="str">
        <f t="shared" si="5"/>
        <v>Q1</v>
      </c>
      <c r="G312" s="15" t="str">
        <f t="shared" si="6"/>
        <v>Winter</v>
      </c>
      <c r="H312" s="16">
        <f>weather_data!E312-weather_data!D312</f>
        <v>-0.6</v>
      </c>
      <c r="I312" s="15">
        <f>IF(OR(weather_data!H312="light rain",weather_data!H312="moderate rain",weather_data!H312="drizzle",weather_data!H312="thunderstorm"),1,0)</f>
        <v>0</v>
      </c>
      <c r="J312" s="15">
        <f>IF(weather_data!I312&gt;=25,1,0)</f>
        <v>0</v>
      </c>
    </row>
    <row r="313" ht="15.75" customHeight="1">
      <c r="A313" s="13">
        <f>weather_data!B313</f>
        <v>46076.27778</v>
      </c>
      <c r="B313" s="14">
        <f t="shared" si="1"/>
        <v>46076</v>
      </c>
      <c r="C313" s="15" t="str">
        <f t="shared" si="2"/>
        <v>2026-02</v>
      </c>
      <c r="D313" s="15">
        <f t="shared" si="3"/>
        <v>2</v>
      </c>
      <c r="E313" s="15" t="str">
        <f t="shared" si="4"/>
        <v>lutego</v>
      </c>
      <c r="F313" s="15" t="str">
        <f t="shared" si="5"/>
        <v>Q1</v>
      </c>
      <c r="G313" s="15" t="str">
        <f t="shared" si="6"/>
        <v>Winter</v>
      </c>
      <c r="H313" s="16">
        <f>weather_data!E313-weather_data!D313</f>
        <v>-1.1</v>
      </c>
      <c r="I313" s="15">
        <f>IF(OR(weather_data!H313="light rain",weather_data!H313="moderate rain",weather_data!H313="drizzle",weather_data!H313="thunderstorm"),1,0)</f>
        <v>0</v>
      </c>
      <c r="J313" s="15">
        <f>IF(weather_data!I313&gt;=25,1,0)</f>
        <v>0</v>
      </c>
    </row>
    <row r="314" ht="15.75" customHeight="1">
      <c r="A314" s="13">
        <f>weather_data!B314</f>
        <v>46077.79167</v>
      </c>
      <c r="B314" s="14">
        <f t="shared" si="1"/>
        <v>46077</v>
      </c>
      <c r="C314" s="15" t="str">
        <f t="shared" si="2"/>
        <v>2026-02</v>
      </c>
      <c r="D314" s="15">
        <f t="shared" si="3"/>
        <v>2</v>
      </c>
      <c r="E314" s="15" t="str">
        <f t="shared" si="4"/>
        <v>lutego</v>
      </c>
      <c r="F314" s="15" t="str">
        <f t="shared" si="5"/>
        <v>Q1</v>
      </c>
      <c r="G314" s="15" t="str">
        <f t="shared" si="6"/>
        <v>Winter</v>
      </c>
      <c r="H314" s="16">
        <f>weather_data!E314-weather_data!D314</f>
        <v>-0.5</v>
      </c>
      <c r="I314" s="15">
        <f>IF(OR(weather_data!H314="light rain",weather_data!H314="moderate rain",weather_data!H314="drizzle",weather_data!H314="thunderstorm"),1,0)</f>
        <v>0</v>
      </c>
      <c r="J314" s="15">
        <f>IF(weather_data!I314&gt;=25,1,0)</f>
        <v>0</v>
      </c>
    </row>
    <row r="315" ht="15.75" customHeight="1">
      <c r="A315" s="13">
        <f>weather_data!B315</f>
        <v>46079.54167</v>
      </c>
      <c r="B315" s="14">
        <f t="shared" si="1"/>
        <v>46079</v>
      </c>
      <c r="C315" s="15" t="str">
        <f t="shared" si="2"/>
        <v>2026-02</v>
      </c>
      <c r="D315" s="15">
        <f t="shared" si="3"/>
        <v>2</v>
      </c>
      <c r="E315" s="15" t="str">
        <f t="shared" si="4"/>
        <v>lutego</v>
      </c>
      <c r="F315" s="15" t="str">
        <f t="shared" si="5"/>
        <v>Q1</v>
      </c>
      <c r="G315" s="15" t="str">
        <f t="shared" si="6"/>
        <v>Winter</v>
      </c>
      <c r="H315" s="16">
        <f>weather_data!E315-weather_data!D315</f>
        <v>-0.3</v>
      </c>
      <c r="I315" s="15">
        <f>IF(OR(weather_data!H315="light rain",weather_data!H315="moderate rain",weather_data!H315="drizzle",weather_data!H315="thunderstorm"),1,0)</f>
        <v>0</v>
      </c>
      <c r="J315" s="15">
        <f>IF(weather_data!I315&gt;=25,1,0)</f>
        <v>0</v>
      </c>
    </row>
    <row r="316" ht="15.75" customHeight="1">
      <c r="A316" s="13">
        <f>weather_data!B316</f>
        <v>46080.83333</v>
      </c>
      <c r="B316" s="14">
        <f t="shared" si="1"/>
        <v>46080</v>
      </c>
      <c r="C316" s="15" t="str">
        <f t="shared" si="2"/>
        <v>2026-02</v>
      </c>
      <c r="D316" s="15">
        <f t="shared" si="3"/>
        <v>2</v>
      </c>
      <c r="E316" s="15" t="str">
        <f t="shared" si="4"/>
        <v>lutego</v>
      </c>
      <c r="F316" s="15" t="str">
        <f t="shared" si="5"/>
        <v>Q1</v>
      </c>
      <c r="G316" s="15" t="str">
        <f t="shared" si="6"/>
        <v>Winter</v>
      </c>
      <c r="H316" s="16">
        <f>weather_data!E316-weather_data!D316</f>
        <v>0.1</v>
      </c>
      <c r="I316" s="15">
        <f>IF(OR(weather_data!H316="light rain",weather_data!H316="moderate rain",weather_data!H316="drizzle",weather_data!H316="thunderstorm"),1,0)</f>
        <v>0</v>
      </c>
      <c r="J316" s="15">
        <f>IF(weather_data!I316&gt;=25,1,0)</f>
        <v>0</v>
      </c>
    </row>
    <row r="317" ht="15.75" customHeight="1">
      <c r="A317" s="13">
        <f>weather_data!B317</f>
        <v>46081.4375</v>
      </c>
      <c r="B317" s="14">
        <f t="shared" si="1"/>
        <v>46081</v>
      </c>
      <c r="C317" s="15" t="str">
        <f t="shared" si="2"/>
        <v>2026-02</v>
      </c>
      <c r="D317" s="15">
        <f t="shared" si="3"/>
        <v>2</v>
      </c>
      <c r="E317" s="15" t="str">
        <f t="shared" si="4"/>
        <v>lutego</v>
      </c>
      <c r="F317" s="15" t="str">
        <f t="shared" si="5"/>
        <v>Q1</v>
      </c>
      <c r="G317" s="15" t="str">
        <f t="shared" si="6"/>
        <v>Winter</v>
      </c>
      <c r="H317" s="16">
        <f>weather_data!E317-weather_data!D317</f>
        <v>-0.6</v>
      </c>
      <c r="I317" s="15">
        <f>IF(OR(weather_data!H317="light rain",weather_data!H317="moderate rain",weather_data!H317="drizzle",weather_data!H317="thunderstorm"),1,0)</f>
        <v>0</v>
      </c>
      <c r="J317" s="15">
        <f>IF(weather_data!I317&gt;=25,1,0)</f>
        <v>0</v>
      </c>
    </row>
    <row r="318" ht="15.75" customHeight="1">
      <c r="A318" s="13">
        <f>weather_data!B318</f>
        <v>46082.65278</v>
      </c>
      <c r="B318" s="14">
        <f t="shared" si="1"/>
        <v>46082</v>
      </c>
      <c r="C318" s="15" t="str">
        <f t="shared" si="2"/>
        <v>2026-03</v>
      </c>
      <c r="D318" s="15">
        <f t="shared" si="3"/>
        <v>3</v>
      </c>
      <c r="E318" s="15" t="str">
        <f t="shared" si="4"/>
        <v>marca</v>
      </c>
      <c r="F318" s="15" t="str">
        <f t="shared" si="5"/>
        <v>Q1</v>
      </c>
      <c r="G318" s="15" t="str">
        <f t="shared" si="6"/>
        <v>Spring</v>
      </c>
      <c r="H318" s="16">
        <f>weather_data!E318-weather_data!D318</f>
        <v>-0.5</v>
      </c>
      <c r="I318" s="15">
        <f>IF(OR(weather_data!H318="light rain",weather_data!H318="moderate rain",weather_data!H318="drizzle",weather_data!H318="thunderstorm"),1,0)</f>
        <v>0</v>
      </c>
      <c r="J318" s="15">
        <f>IF(weather_data!I318&gt;=25,1,0)</f>
        <v>0</v>
      </c>
    </row>
    <row r="319" ht="15.75" customHeight="1">
      <c r="A319" s="13">
        <f>weather_data!B319</f>
        <v>46083.60417</v>
      </c>
      <c r="B319" s="14">
        <f t="shared" si="1"/>
        <v>46083</v>
      </c>
      <c r="C319" s="15" t="str">
        <f t="shared" si="2"/>
        <v>2026-03</v>
      </c>
      <c r="D319" s="15">
        <f t="shared" si="3"/>
        <v>3</v>
      </c>
      <c r="E319" s="15" t="str">
        <f t="shared" si="4"/>
        <v>marca</v>
      </c>
      <c r="F319" s="15" t="str">
        <f t="shared" si="5"/>
        <v>Q1</v>
      </c>
      <c r="G319" s="15" t="str">
        <f t="shared" si="6"/>
        <v>Spring</v>
      </c>
      <c r="H319" s="16">
        <f>weather_data!E319-weather_data!D319</f>
        <v>-1.1</v>
      </c>
      <c r="I319" s="15">
        <f>IF(OR(weather_data!H319="light rain",weather_data!H319="moderate rain",weather_data!H319="drizzle",weather_data!H319="thunderstorm"),1,0)</f>
        <v>0</v>
      </c>
      <c r="J319" s="15">
        <f>IF(weather_data!I319&gt;=25,1,0)</f>
        <v>0</v>
      </c>
    </row>
    <row r="320" ht="15.75" customHeight="1">
      <c r="A320" s="13">
        <f>weather_data!B320</f>
        <v>46084.89583</v>
      </c>
      <c r="B320" s="14">
        <f t="shared" si="1"/>
        <v>46084</v>
      </c>
      <c r="C320" s="15" t="str">
        <f t="shared" si="2"/>
        <v>2026-03</v>
      </c>
      <c r="D320" s="15">
        <f t="shared" si="3"/>
        <v>3</v>
      </c>
      <c r="E320" s="15" t="str">
        <f t="shared" si="4"/>
        <v>marca</v>
      </c>
      <c r="F320" s="15" t="str">
        <f t="shared" si="5"/>
        <v>Q1</v>
      </c>
      <c r="G320" s="15" t="str">
        <f t="shared" si="6"/>
        <v>Spring</v>
      </c>
      <c r="H320" s="16">
        <f>weather_data!E320-weather_data!D320</f>
        <v>-0.9</v>
      </c>
      <c r="I320" s="15">
        <f>IF(OR(weather_data!H320="light rain",weather_data!H320="moderate rain",weather_data!H320="drizzle",weather_data!H320="thunderstorm"),1,0)</f>
        <v>1</v>
      </c>
      <c r="J320" s="15">
        <f>IF(weather_data!I320&gt;=25,1,0)</f>
        <v>1</v>
      </c>
    </row>
    <row r="321" ht="15.75" customHeight="1">
      <c r="A321" s="13">
        <f>weather_data!B321</f>
        <v>46085.5625</v>
      </c>
      <c r="B321" s="14">
        <f t="shared" si="1"/>
        <v>46085</v>
      </c>
      <c r="C321" s="15" t="str">
        <f t="shared" si="2"/>
        <v>2026-03</v>
      </c>
      <c r="D321" s="15">
        <f t="shared" si="3"/>
        <v>3</v>
      </c>
      <c r="E321" s="15" t="str">
        <f t="shared" si="4"/>
        <v>marca</v>
      </c>
      <c r="F321" s="15" t="str">
        <f t="shared" si="5"/>
        <v>Q1</v>
      </c>
      <c r="G321" s="15" t="str">
        <f t="shared" si="6"/>
        <v>Spring</v>
      </c>
      <c r="H321" s="16">
        <f>weather_data!E321-weather_data!D321</f>
        <v>0.3</v>
      </c>
      <c r="I321" s="15">
        <f>IF(OR(weather_data!H321="light rain",weather_data!H321="moderate rain",weather_data!H321="drizzle",weather_data!H321="thunderstorm"),1,0)</f>
        <v>0</v>
      </c>
      <c r="J321" s="15">
        <f>IF(weather_data!I321&gt;=25,1,0)</f>
        <v>0</v>
      </c>
    </row>
    <row r="322" ht="15.75" customHeight="1">
      <c r="A322" s="13">
        <f>weather_data!B322</f>
        <v>46086.4375</v>
      </c>
      <c r="B322" s="14">
        <f t="shared" si="1"/>
        <v>46086</v>
      </c>
      <c r="C322" s="15" t="str">
        <f t="shared" si="2"/>
        <v>2026-03</v>
      </c>
      <c r="D322" s="15">
        <f t="shared" si="3"/>
        <v>3</v>
      </c>
      <c r="E322" s="15" t="str">
        <f t="shared" si="4"/>
        <v>marca</v>
      </c>
      <c r="F322" s="15" t="str">
        <f t="shared" si="5"/>
        <v>Q1</v>
      </c>
      <c r="G322" s="15" t="str">
        <f t="shared" si="6"/>
        <v>Spring</v>
      </c>
      <c r="H322" s="16">
        <f>weather_data!E322-weather_data!D322</f>
        <v>-1.2</v>
      </c>
      <c r="I322" s="15">
        <f>IF(OR(weather_data!H322="light rain",weather_data!H322="moderate rain",weather_data!H322="drizzle",weather_data!H322="thunderstorm"),1,0)</f>
        <v>0</v>
      </c>
      <c r="J322" s="15">
        <f>IF(weather_data!I322&gt;=25,1,0)</f>
        <v>0</v>
      </c>
    </row>
    <row r="323" ht="15.75" customHeight="1">
      <c r="A323" s="13">
        <f>weather_data!B323</f>
        <v>46087.52778</v>
      </c>
      <c r="B323" s="14">
        <f t="shared" si="1"/>
        <v>46087</v>
      </c>
      <c r="C323" s="15" t="str">
        <f t="shared" si="2"/>
        <v>2026-03</v>
      </c>
      <c r="D323" s="15">
        <f t="shared" si="3"/>
        <v>3</v>
      </c>
      <c r="E323" s="15" t="str">
        <f t="shared" si="4"/>
        <v>marca</v>
      </c>
      <c r="F323" s="15" t="str">
        <f t="shared" si="5"/>
        <v>Q1</v>
      </c>
      <c r="G323" s="15" t="str">
        <f t="shared" si="6"/>
        <v>Spring</v>
      </c>
      <c r="H323" s="16">
        <f>weather_data!E323-weather_data!D323</f>
        <v>0.7</v>
      </c>
      <c r="I323" s="15">
        <f>IF(OR(weather_data!H323="light rain",weather_data!H323="moderate rain",weather_data!H323="drizzle",weather_data!H323="thunderstorm"),1,0)</f>
        <v>0</v>
      </c>
      <c r="J323" s="15">
        <f>IF(weather_data!I323&gt;=25,1,0)</f>
        <v>0</v>
      </c>
    </row>
    <row r="324" ht="15.75" customHeight="1">
      <c r="A324" s="13">
        <f>weather_data!B324</f>
        <v>46088.41667</v>
      </c>
      <c r="B324" s="14">
        <f t="shared" si="1"/>
        <v>46088</v>
      </c>
      <c r="C324" s="15" t="str">
        <f t="shared" si="2"/>
        <v>2026-03</v>
      </c>
      <c r="D324" s="15">
        <f t="shared" si="3"/>
        <v>3</v>
      </c>
      <c r="E324" s="15" t="str">
        <f t="shared" si="4"/>
        <v>marca</v>
      </c>
      <c r="F324" s="15" t="str">
        <f t="shared" si="5"/>
        <v>Q1</v>
      </c>
      <c r="G324" s="15" t="str">
        <f t="shared" si="6"/>
        <v>Spring</v>
      </c>
      <c r="H324" s="16">
        <f>weather_data!E324-weather_data!D324</f>
        <v>-0.4</v>
      </c>
      <c r="I324" s="15">
        <f>IF(OR(weather_data!H324="light rain",weather_data!H324="moderate rain",weather_data!H324="drizzle",weather_data!H324="thunderstorm"),1,0)</f>
        <v>1</v>
      </c>
      <c r="J324" s="15">
        <f>IF(weather_data!I324&gt;=25,1,0)</f>
        <v>0</v>
      </c>
    </row>
    <row r="325" ht="15.75" customHeight="1">
      <c r="A325" s="13">
        <f>weather_data!B325</f>
        <v>46089.60417</v>
      </c>
      <c r="B325" s="14">
        <f t="shared" si="1"/>
        <v>46089</v>
      </c>
      <c r="C325" s="15" t="str">
        <f t="shared" si="2"/>
        <v>2026-03</v>
      </c>
      <c r="D325" s="15">
        <f t="shared" si="3"/>
        <v>3</v>
      </c>
      <c r="E325" s="15" t="str">
        <f t="shared" si="4"/>
        <v>marca</v>
      </c>
      <c r="F325" s="15" t="str">
        <f t="shared" si="5"/>
        <v>Q1</v>
      </c>
      <c r="G325" s="15" t="str">
        <f t="shared" si="6"/>
        <v>Spring</v>
      </c>
      <c r="H325" s="16">
        <f>weather_data!E325-weather_data!D325</f>
        <v>0.3</v>
      </c>
      <c r="I325" s="15">
        <f>IF(OR(weather_data!H325="light rain",weather_data!H325="moderate rain",weather_data!H325="drizzle",weather_data!H325="thunderstorm"),1,0)</f>
        <v>0</v>
      </c>
      <c r="J325" s="15">
        <f>IF(weather_data!I325&gt;=25,1,0)</f>
        <v>0</v>
      </c>
    </row>
    <row r="326" ht="15.75" customHeight="1">
      <c r="A326" s="13">
        <f>weather_data!B326</f>
        <v>46091.69444</v>
      </c>
      <c r="B326" s="14">
        <f t="shared" si="1"/>
        <v>46091</v>
      </c>
      <c r="C326" s="15" t="str">
        <f t="shared" si="2"/>
        <v>2026-03</v>
      </c>
      <c r="D326" s="15">
        <f t="shared" si="3"/>
        <v>3</v>
      </c>
      <c r="E326" s="15" t="str">
        <f t="shared" si="4"/>
        <v>marca</v>
      </c>
      <c r="F326" s="15" t="str">
        <f t="shared" si="5"/>
        <v>Q1</v>
      </c>
      <c r="G326" s="15" t="str">
        <f t="shared" si="6"/>
        <v>Spring</v>
      </c>
      <c r="H326" s="16">
        <f>weather_data!E326-weather_data!D326</f>
        <v>0.6</v>
      </c>
      <c r="I326" s="15">
        <f>IF(OR(weather_data!H326="light rain",weather_data!H326="moderate rain",weather_data!H326="drizzle",weather_data!H326="thunderstorm"),1,0)</f>
        <v>0</v>
      </c>
      <c r="J326" s="15">
        <f>IF(weather_data!I326&gt;=25,1,0)</f>
        <v>1</v>
      </c>
    </row>
    <row r="327" ht="15.75" customHeight="1">
      <c r="A327" s="13">
        <f>weather_data!B327</f>
        <v>46092.58333</v>
      </c>
      <c r="B327" s="14">
        <f t="shared" si="1"/>
        <v>46092</v>
      </c>
      <c r="C327" s="15" t="str">
        <f t="shared" si="2"/>
        <v>2026-03</v>
      </c>
      <c r="D327" s="15">
        <f t="shared" si="3"/>
        <v>3</v>
      </c>
      <c r="E327" s="15" t="str">
        <f t="shared" si="4"/>
        <v>marca</v>
      </c>
      <c r="F327" s="15" t="str">
        <f t="shared" si="5"/>
        <v>Q1</v>
      </c>
      <c r="G327" s="15" t="str">
        <f t="shared" si="6"/>
        <v>Spring</v>
      </c>
      <c r="H327" s="16">
        <f>weather_data!E327-weather_data!D327</f>
        <v>-1</v>
      </c>
      <c r="I327" s="15">
        <f>IF(OR(weather_data!H327="light rain",weather_data!H327="moderate rain",weather_data!H327="drizzle",weather_data!H327="thunderstorm"),1,0)</f>
        <v>0</v>
      </c>
      <c r="J327" s="15">
        <f>IF(weather_data!I327&gt;=25,1,0)</f>
        <v>0</v>
      </c>
    </row>
    <row r="328" ht="15.75" customHeight="1">
      <c r="A328" s="13">
        <f>weather_data!B328</f>
        <v>46093.65972</v>
      </c>
      <c r="B328" s="14">
        <f t="shared" si="1"/>
        <v>46093</v>
      </c>
      <c r="C328" s="15" t="str">
        <f t="shared" si="2"/>
        <v>2026-03</v>
      </c>
      <c r="D328" s="15">
        <f t="shared" si="3"/>
        <v>3</v>
      </c>
      <c r="E328" s="15" t="str">
        <f t="shared" si="4"/>
        <v>marca</v>
      </c>
      <c r="F328" s="15" t="str">
        <f t="shared" si="5"/>
        <v>Q1</v>
      </c>
      <c r="G328" s="15" t="str">
        <f t="shared" si="6"/>
        <v>Spring</v>
      </c>
      <c r="H328" s="16">
        <f>weather_data!E328-weather_data!D328</f>
        <v>0.8</v>
      </c>
      <c r="I328" s="15">
        <f>IF(OR(weather_data!H328="light rain",weather_data!H328="moderate rain",weather_data!H328="drizzle",weather_data!H328="thunderstorm"),1,0)</f>
        <v>0</v>
      </c>
      <c r="J328" s="15">
        <f>IF(weather_data!I328&gt;=25,1,0)</f>
        <v>0</v>
      </c>
    </row>
    <row r="329" ht="15.75" customHeight="1">
      <c r="A329" s="13">
        <f>weather_data!B329</f>
        <v>46094.65278</v>
      </c>
      <c r="B329" s="14">
        <f t="shared" si="1"/>
        <v>46094</v>
      </c>
      <c r="C329" s="15" t="str">
        <f t="shared" si="2"/>
        <v>2026-03</v>
      </c>
      <c r="D329" s="15">
        <f t="shared" si="3"/>
        <v>3</v>
      </c>
      <c r="E329" s="15" t="str">
        <f t="shared" si="4"/>
        <v>marca</v>
      </c>
      <c r="F329" s="15" t="str">
        <f t="shared" si="5"/>
        <v>Q1</v>
      </c>
      <c r="G329" s="15" t="str">
        <f t="shared" si="6"/>
        <v>Spring</v>
      </c>
      <c r="H329" s="16">
        <f>weather_data!E329-weather_data!D329</f>
        <v>-1.1</v>
      </c>
      <c r="I329" s="15">
        <f>IF(OR(weather_data!H329="light rain",weather_data!H329="moderate rain",weather_data!H329="drizzle",weather_data!H329="thunderstorm"),1,0)</f>
        <v>1</v>
      </c>
      <c r="J329" s="15">
        <f>IF(weather_data!I329&gt;=25,1,0)</f>
        <v>0</v>
      </c>
    </row>
    <row r="330" ht="15.75" customHeight="1">
      <c r="A330" s="13">
        <f>weather_data!B330</f>
        <v>46095.88194</v>
      </c>
      <c r="B330" s="14">
        <f t="shared" si="1"/>
        <v>46095</v>
      </c>
      <c r="C330" s="15" t="str">
        <f t="shared" si="2"/>
        <v>2026-03</v>
      </c>
      <c r="D330" s="15">
        <f t="shared" si="3"/>
        <v>3</v>
      </c>
      <c r="E330" s="15" t="str">
        <f t="shared" si="4"/>
        <v>marca</v>
      </c>
      <c r="F330" s="15" t="str">
        <f t="shared" si="5"/>
        <v>Q1</v>
      </c>
      <c r="G330" s="15" t="str">
        <f t="shared" si="6"/>
        <v>Spring</v>
      </c>
      <c r="H330" s="16">
        <f>weather_data!E330-weather_data!D330</f>
        <v>0.5</v>
      </c>
      <c r="I330" s="15">
        <f>IF(OR(weather_data!H330="light rain",weather_data!H330="moderate rain",weather_data!H330="drizzle",weather_data!H330="thunderstorm"),1,0)</f>
        <v>1</v>
      </c>
      <c r="J330" s="15">
        <f>IF(weather_data!I330&gt;=25,1,0)</f>
        <v>1</v>
      </c>
    </row>
    <row r="331" ht="15.75" customHeight="1">
      <c r="A331" s="13">
        <f>weather_data!B331</f>
        <v>46096.86111</v>
      </c>
      <c r="B331" s="14">
        <f t="shared" si="1"/>
        <v>46096</v>
      </c>
      <c r="C331" s="15" t="str">
        <f t="shared" si="2"/>
        <v>2026-03</v>
      </c>
      <c r="D331" s="15">
        <f t="shared" si="3"/>
        <v>3</v>
      </c>
      <c r="E331" s="15" t="str">
        <f t="shared" si="4"/>
        <v>marca</v>
      </c>
      <c r="F331" s="15" t="str">
        <f t="shared" si="5"/>
        <v>Q1</v>
      </c>
      <c r="G331" s="15" t="str">
        <f t="shared" si="6"/>
        <v>Spring</v>
      </c>
      <c r="H331" s="16">
        <f>weather_data!E331-weather_data!D331</f>
        <v>-0.8</v>
      </c>
      <c r="I331" s="15">
        <f>IF(OR(weather_data!H331="light rain",weather_data!H331="moderate rain",weather_data!H331="drizzle",weather_data!H331="thunderstorm"),1,0)</f>
        <v>1</v>
      </c>
      <c r="J331" s="15">
        <f>IF(weather_data!I331&gt;=25,1,0)</f>
        <v>1</v>
      </c>
    </row>
    <row r="332" ht="15.75" customHeight="1">
      <c r="A332" s="13">
        <f>weather_data!B332</f>
        <v>46097.88889</v>
      </c>
      <c r="B332" s="14">
        <f t="shared" si="1"/>
        <v>46097</v>
      </c>
      <c r="C332" s="15" t="str">
        <f t="shared" si="2"/>
        <v>2026-03</v>
      </c>
      <c r="D332" s="15">
        <f t="shared" si="3"/>
        <v>3</v>
      </c>
      <c r="E332" s="15" t="str">
        <f t="shared" si="4"/>
        <v>marca</v>
      </c>
      <c r="F332" s="15" t="str">
        <f t="shared" si="5"/>
        <v>Q1</v>
      </c>
      <c r="G332" s="15" t="str">
        <f t="shared" si="6"/>
        <v>Spring</v>
      </c>
      <c r="H332" s="16">
        <f>weather_data!E332-weather_data!D332</f>
        <v>0.5</v>
      </c>
      <c r="I332" s="15">
        <f>IF(OR(weather_data!H332="light rain",weather_data!H332="moderate rain",weather_data!H332="drizzle",weather_data!H332="thunderstorm"),1,0)</f>
        <v>0</v>
      </c>
      <c r="J332" s="15">
        <f>IF(weather_data!I332&gt;=25,1,0)</f>
        <v>0</v>
      </c>
    </row>
    <row r="333" ht="15.75" customHeight="1">
      <c r="A333" s="13">
        <f>weather_data!B333</f>
        <v>46098.69444</v>
      </c>
      <c r="B333" s="14">
        <f t="shared" si="1"/>
        <v>46098</v>
      </c>
      <c r="C333" s="15" t="str">
        <f t="shared" si="2"/>
        <v>2026-03</v>
      </c>
      <c r="D333" s="15">
        <f t="shared" si="3"/>
        <v>3</v>
      </c>
      <c r="E333" s="15" t="str">
        <f t="shared" si="4"/>
        <v>marca</v>
      </c>
      <c r="F333" s="15" t="str">
        <f t="shared" si="5"/>
        <v>Q1</v>
      </c>
      <c r="G333" s="15" t="str">
        <f t="shared" si="6"/>
        <v>Spring</v>
      </c>
      <c r="H333" s="16">
        <f>weather_data!E333-weather_data!D333</f>
        <v>0.8</v>
      </c>
      <c r="I333" s="15">
        <f>IF(OR(weather_data!H333="light rain",weather_data!H333="moderate rain",weather_data!H333="drizzle",weather_data!H333="thunderstorm"),1,0)</f>
        <v>0</v>
      </c>
      <c r="J333" s="15">
        <f>IF(weather_data!I333&gt;=25,1,0)</f>
        <v>0</v>
      </c>
    </row>
    <row r="334" ht="15.75" customHeight="1">
      <c r="A334" s="13">
        <f>weather_data!B334</f>
        <v>46099.77083</v>
      </c>
      <c r="B334" s="14">
        <f t="shared" si="1"/>
        <v>46099</v>
      </c>
      <c r="C334" s="15" t="str">
        <f t="shared" si="2"/>
        <v>2026-03</v>
      </c>
      <c r="D334" s="15">
        <f t="shared" si="3"/>
        <v>3</v>
      </c>
      <c r="E334" s="15" t="str">
        <f t="shared" si="4"/>
        <v>marca</v>
      </c>
      <c r="F334" s="15" t="str">
        <f t="shared" si="5"/>
        <v>Q1</v>
      </c>
      <c r="G334" s="15" t="str">
        <f t="shared" si="6"/>
        <v>Spring</v>
      </c>
      <c r="H334" s="16">
        <f>weather_data!E334-weather_data!D334</f>
        <v>0.5</v>
      </c>
      <c r="I334" s="15">
        <f>IF(OR(weather_data!H334="light rain",weather_data!H334="moderate rain",weather_data!H334="drizzle",weather_data!H334="thunderstorm"),1,0)</f>
        <v>0</v>
      </c>
      <c r="J334" s="15">
        <f>IF(weather_data!I334&gt;=25,1,0)</f>
        <v>0</v>
      </c>
    </row>
    <row r="335" ht="15.75" customHeight="1">
      <c r="A335" s="13">
        <f>weather_data!B335</f>
        <v>46100.67361</v>
      </c>
      <c r="B335" s="14">
        <f t="shared" si="1"/>
        <v>46100</v>
      </c>
      <c r="C335" s="15" t="str">
        <f t="shared" si="2"/>
        <v>2026-03</v>
      </c>
      <c r="D335" s="15">
        <f t="shared" si="3"/>
        <v>3</v>
      </c>
      <c r="E335" s="15" t="str">
        <f t="shared" si="4"/>
        <v>marca</v>
      </c>
      <c r="F335" s="15" t="str">
        <f t="shared" si="5"/>
        <v>Q1</v>
      </c>
      <c r="G335" s="15" t="str">
        <f t="shared" si="6"/>
        <v>Spring</v>
      </c>
      <c r="H335" s="16">
        <f>weather_data!E335-weather_data!D335</f>
        <v>1.2</v>
      </c>
      <c r="I335" s="15">
        <f>IF(OR(weather_data!H335="light rain",weather_data!H335="moderate rain",weather_data!H335="drizzle",weather_data!H335="thunderstorm"),1,0)</f>
        <v>0</v>
      </c>
      <c r="J335" s="15">
        <f>IF(weather_data!I335&gt;=25,1,0)</f>
        <v>0</v>
      </c>
    </row>
    <row r="336" ht="15.75" customHeight="1">
      <c r="A336" s="13">
        <f>weather_data!B336</f>
        <v>46101.56944</v>
      </c>
      <c r="B336" s="14">
        <f t="shared" si="1"/>
        <v>46101</v>
      </c>
      <c r="C336" s="15" t="str">
        <f t="shared" si="2"/>
        <v>2026-03</v>
      </c>
      <c r="D336" s="15">
        <f t="shared" si="3"/>
        <v>3</v>
      </c>
      <c r="E336" s="15" t="str">
        <f t="shared" si="4"/>
        <v>marca</v>
      </c>
      <c r="F336" s="15" t="str">
        <f t="shared" si="5"/>
        <v>Q1</v>
      </c>
      <c r="G336" s="15" t="str">
        <f t="shared" si="6"/>
        <v>Spring</v>
      </c>
      <c r="H336" s="16">
        <f>weather_data!E336-weather_data!D336</f>
        <v>0.6</v>
      </c>
      <c r="I336" s="15">
        <f>IF(OR(weather_data!H336="light rain",weather_data!H336="moderate rain",weather_data!H336="drizzle",weather_data!H336="thunderstorm"),1,0)</f>
        <v>0</v>
      </c>
      <c r="J336" s="15">
        <f>IF(weather_data!I336&gt;=25,1,0)</f>
        <v>0</v>
      </c>
    </row>
    <row r="337" ht="15.75" customHeight="1">
      <c r="A337" s="13">
        <f>weather_data!B337</f>
        <v>46102.75694</v>
      </c>
      <c r="B337" s="14">
        <f t="shared" si="1"/>
        <v>46102</v>
      </c>
      <c r="C337" s="15" t="str">
        <f t="shared" si="2"/>
        <v>2026-03</v>
      </c>
      <c r="D337" s="15">
        <f t="shared" si="3"/>
        <v>3</v>
      </c>
      <c r="E337" s="15" t="str">
        <f t="shared" si="4"/>
        <v>marca</v>
      </c>
      <c r="F337" s="15" t="str">
        <f t="shared" si="5"/>
        <v>Q1</v>
      </c>
      <c r="G337" s="15" t="str">
        <f t="shared" si="6"/>
        <v>Spring</v>
      </c>
      <c r="H337" s="16">
        <f>weather_data!E337-weather_data!D337</f>
        <v>0.6</v>
      </c>
      <c r="I337" s="15">
        <f>IF(OR(weather_data!H337="light rain",weather_data!H337="moderate rain",weather_data!H337="drizzle",weather_data!H337="thunderstorm"),1,0)</f>
        <v>0</v>
      </c>
      <c r="J337" s="15">
        <f>IF(weather_data!I337&gt;=25,1,0)</f>
        <v>0</v>
      </c>
    </row>
    <row r="338" ht="15.75" customHeight="1">
      <c r="A338" s="13">
        <f>weather_data!B338</f>
        <v>46103.79167</v>
      </c>
      <c r="B338" s="14">
        <f t="shared" si="1"/>
        <v>46103</v>
      </c>
      <c r="C338" s="15" t="str">
        <f t="shared" si="2"/>
        <v>2026-03</v>
      </c>
      <c r="D338" s="15">
        <f t="shared" si="3"/>
        <v>3</v>
      </c>
      <c r="E338" s="15" t="str">
        <f t="shared" si="4"/>
        <v>marca</v>
      </c>
      <c r="F338" s="15" t="str">
        <f t="shared" si="5"/>
        <v>Q1</v>
      </c>
      <c r="G338" s="15" t="str">
        <f t="shared" si="6"/>
        <v>Spring</v>
      </c>
      <c r="H338" s="16">
        <f>weather_data!E338-weather_data!D338</f>
        <v>0.5</v>
      </c>
      <c r="I338" s="15">
        <f>IF(OR(weather_data!H338="light rain",weather_data!H338="moderate rain",weather_data!H338="drizzle",weather_data!H338="thunderstorm"),1,0)</f>
        <v>1</v>
      </c>
      <c r="J338" s="15">
        <f>IF(weather_data!I338&gt;=25,1,0)</f>
        <v>0</v>
      </c>
    </row>
    <row r="339" ht="15.75" customHeight="1">
      <c r="A339" s="13">
        <f>weather_data!B339</f>
        <v>46104.70139</v>
      </c>
      <c r="B339" s="14">
        <f t="shared" si="1"/>
        <v>46104</v>
      </c>
      <c r="C339" s="15" t="str">
        <f t="shared" si="2"/>
        <v>2026-03</v>
      </c>
      <c r="D339" s="15">
        <f t="shared" si="3"/>
        <v>3</v>
      </c>
      <c r="E339" s="15" t="str">
        <f t="shared" si="4"/>
        <v>marca</v>
      </c>
      <c r="F339" s="15" t="str">
        <f t="shared" si="5"/>
        <v>Q1</v>
      </c>
      <c r="G339" s="15" t="str">
        <f t="shared" si="6"/>
        <v>Spring</v>
      </c>
      <c r="H339" s="16">
        <f>weather_data!E339-weather_data!D339</f>
        <v>-0.7</v>
      </c>
      <c r="I339" s="15">
        <f>IF(OR(weather_data!H339="light rain",weather_data!H339="moderate rain",weather_data!H339="drizzle",weather_data!H339="thunderstorm"),1,0)</f>
        <v>0</v>
      </c>
      <c r="J339" s="15">
        <f>IF(weather_data!I339&gt;=25,1,0)</f>
        <v>0</v>
      </c>
    </row>
    <row r="340" ht="15.75" customHeight="1">
      <c r="A340" s="13">
        <f>weather_data!B340</f>
        <v>46105.90972</v>
      </c>
      <c r="B340" s="14">
        <f t="shared" si="1"/>
        <v>46105</v>
      </c>
      <c r="C340" s="15" t="str">
        <f t="shared" si="2"/>
        <v>2026-03</v>
      </c>
      <c r="D340" s="15">
        <f t="shared" si="3"/>
        <v>3</v>
      </c>
      <c r="E340" s="15" t="str">
        <f t="shared" si="4"/>
        <v>marca</v>
      </c>
      <c r="F340" s="15" t="str">
        <f t="shared" si="5"/>
        <v>Q1</v>
      </c>
      <c r="G340" s="15" t="str">
        <f t="shared" si="6"/>
        <v>Spring</v>
      </c>
      <c r="H340" s="16">
        <f>weather_data!E340-weather_data!D340</f>
        <v>0</v>
      </c>
      <c r="I340" s="15">
        <f>IF(OR(weather_data!H340="light rain",weather_data!H340="moderate rain",weather_data!H340="drizzle",weather_data!H340="thunderstorm"),1,0)</f>
        <v>1</v>
      </c>
      <c r="J340" s="15">
        <f>IF(weather_data!I340&gt;=25,1,0)</f>
        <v>1</v>
      </c>
    </row>
    <row r="341" ht="15.75" customHeight="1">
      <c r="A341" s="13">
        <f>weather_data!B341</f>
        <v>46106.77083</v>
      </c>
      <c r="B341" s="14">
        <f t="shared" si="1"/>
        <v>46106</v>
      </c>
      <c r="C341" s="15" t="str">
        <f t="shared" si="2"/>
        <v>2026-03</v>
      </c>
      <c r="D341" s="15">
        <f t="shared" si="3"/>
        <v>3</v>
      </c>
      <c r="E341" s="15" t="str">
        <f t="shared" si="4"/>
        <v>marca</v>
      </c>
      <c r="F341" s="15" t="str">
        <f t="shared" si="5"/>
        <v>Q1</v>
      </c>
      <c r="G341" s="15" t="str">
        <f t="shared" si="6"/>
        <v>Spring</v>
      </c>
      <c r="H341" s="16">
        <f>weather_data!E341-weather_data!D341</f>
        <v>0.4</v>
      </c>
      <c r="I341" s="15">
        <f>IF(OR(weather_data!H341="light rain",weather_data!H341="moderate rain",weather_data!H341="drizzle",weather_data!H341="thunderstorm"),1,0)</f>
        <v>0</v>
      </c>
      <c r="J341" s="15">
        <f>IF(weather_data!I341&gt;=25,1,0)</f>
        <v>0</v>
      </c>
    </row>
    <row r="342" ht="15.75" customHeight="1">
      <c r="A342" s="13">
        <f>weather_data!B342</f>
        <v>46108.4375</v>
      </c>
      <c r="B342" s="14">
        <f t="shared" si="1"/>
        <v>46108</v>
      </c>
      <c r="C342" s="15" t="str">
        <f t="shared" si="2"/>
        <v>2026-03</v>
      </c>
      <c r="D342" s="15">
        <f t="shared" si="3"/>
        <v>3</v>
      </c>
      <c r="E342" s="15" t="str">
        <f t="shared" si="4"/>
        <v>marca</v>
      </c>
      <c r="F342" s="15" t="str">
        <f t="shared" si="5"/>
        <v>Q1</v>
      </c>
      <c r="G342" s="15" t="str">
        <f t="shared" si="6"/>
        <v>Spring</v>
      </c>
      <c r="H342" s="16">
        <f>weather_data!E342-weather_data!D342</f>
        <v>-1</v>
      </c>
      <c r="I342" s="15">
        <f>IF(OR(weather_data!H342="light rain",weather_data!H342="moderate rain",weather_data!H342="drizzle",weather_data!H342="thunderstorm"),1,0)</f>
        <v>1</v>
      </c>
      <c r="J342" s="15">
        <f>IF(weather_data!I342&gt;=25,1,0)</f>
        <v>0</v>
      </c>
    </row>
    <row r="343" ht="15.75" customHeight="1">
      <c r="A343" s="13">
        <f>weather_data!B343</f>
        <v>46109.29861</v>
      </c>
      <c r="B343" s="14">
        <f t="shared" si="1"/>
        <v>46109</v>
      </c>
      <c r="C343" s="15" t="str">
        <f t="shared" si="2"/>
        <v>2026-03</v>
      </c>
      <c r="D343" s="15">
        <f t="shared" si="3"/>
        <v>3</v>
      </c>
      <c r="E343" s="15" t="str">
        <f t="shared" si="4"/>
        <v>marca</v>
      </c>
      <c r="F343" s="15" t="str">
        <f t="shared" si="5"/>
        <v>Q1</v>
      </c>
      <c r="G343" s="15" t="str">
        <f t="shared" si="6"/>
        <v>Spring</v>
      </c>
      <c r="H343" s="16">
        <f>weather_data!E343-weather_data!D343</f>
        <v>-1.3</v>
      </c>
      <c r="I343" s="15">
        <f>IF(OR(weather_data!H343="light rain",weather_data!H343="moderate rain",weather_data!H343="drizzle",weather_data!H343="thunderstorm"),1,0)</f>
        <v>1</v>
      </c>
      <c r="J343" s="15">
        <f>IF(weather_data!I343&gt;=25,1,0)</f>
        <v>0</v>
      </c>
    </row>
    <row r="344" ht="15.75" customHeight="1">
      <c r="A344" s="13">
        <f>weather_data!B344</f>
        <v>46110.66667</v>
      </c>
      <c r="B344" s="14">
        <f t="shared" si="1"/>
        <v>46110</v>
      </c>
      <c r="C344" s="15" t="str">
        <f t="shared" si="2"/>
        <v>2026-03</v>
      </c>
      <c r="D344" s="15">
        <f t="shared" si="3"/>
        <v>3</v>
      </c>
      <c r="E344" s="15" t="str">
        <f t="shared" si="4"/>
        <v>marca</v>
      </c>
      <c r="F344" s="15" t="str">
        <f t="shared" si="5"/>
        <v>Q1</v>
      </c>
      <c r="G344" s="15" t="str">
        <f t="shared" si="6"/>
        <v>Spring</v>
      </c>
      <c r="H344" s="16">
        <f>weather_data!E344-weather_data!D344</f>
        <v>0.8</v>
      </c>
      <c r="I344" s="15">
        <f>IF(OR(weather_data!H344="light rain",weather_data!H344="moderate rain",weather_data!H344="drizzle",weather_data!H344="thunderstorm"),1,0)</f>
        <v>0</v>
      </c>
      <c r="J344" s="15">
        <f>IF(weather_data!I344&gt;=25,1,0)</f>
        <v>0</v>
      </c>
    </row>
    <row r="345" ht="15.75" customHeight="1">
      <c r="A345" s="13">
        <f>weather_data!B345</f>
        <v>46111.83333</v>
      </c>
      <c r="B345" s="14">
        <f t="shared" si="1"/>
        <v>46111</v>
      </c>
      <c r="C345" s="15" t="str">
        <f t="shared" si="2"/>
        <v>2026-03</v>
      </c>
      <c r="D345" s="15">
        <f t="shared" si="3"/>
        <v>3</v>
      </c>
      <c r="E345" s="15" t="str">
        <f t="shared" si="4"/>
        <v>marca</v>
      </c>
      <c r="F345" s="15" t="str">
        <f t="shared" si="5"/>
        <v>Q1</v>
      </c>
      <c r="G345" s="15" t="str">
        <f t="shared" si="6"/>
        <v>Spring</v>
      </c>
      <c r="H345" s="16">
        <f>weather_data!E345-weather_data!D345</f>
        <v>-0.2</v>
      </c>
      <c r="I345" s="15">
        <f>IF(OR(weather_data!H345="light rain",weather_data!H345="moderate rain",weather_data!H345="drizzle",weather_data!H345="thunderstorm"),1,0)</f>
        <v>0</v>
      </c>
      <c r="J345" s="15">
        <f>IF(weather_data!I345&gt;=25,1,0)</f>
        <v>0</v>
      </c>
    </row>
    <row r="346" ht="15.75" customHeight="1">
      <c r="A346" s="13">
        <f>weather_data!B346</f>
        <v>46112.83333</v>
      </c>
      <c r="B346" s="14">
        <f t="shared" si="1"/>
        <v>46112</v>
      </c>
      <c r="C346" s="15" t="str">
        <f t="shared" si="2"/>
        <v>2026-03</v>
      </c>
      <c r="D346" s="15">
        <f t="shared" si="3"/>
        <v>3</v>
      </c>
      <c r="E346" s="15" t="str">
        <f t="shared" si="4"/>
        <v>marca</v>
      </c>
      <c r="F346" s="15" t="str">
        <f t="shared" si="5"/>
        <v>Q1</v>
      </c>
      <c r="G346" s="15" t="str">
        <f t="shared" si="6"/>
        <v>Spring</v>
      </c>
      <c r="H346" s="16">
        <f>weather_data!E346-weather_data!D346</f>
        <v>0.5</v>
      </c>
      <c r="I346" s="15">
        <f>IF(OR(weather_data!H346="light rain",weather_data!H346="moderate rain",weather_data!H346="drizzle",weather_data!H346="thunderstorm"),1,0)</f>
        <v>0</v>
      </c>
      <c r="J346" s="15">
        <f>IF(weather_data!I346&gt;=25,1,0)</f>
        <v>0</v>
      </c>
    </row>
    <row r="347" ht="15.75" customHeight="1">
      <c r="A347" s="13">
        <f>weather_data!B347</f>
        <v>46113.4375</v>
      </c>
      <c r="B347" s="14">
        <f t="shared" si="1"/>
        <v>46113</v>
      </c>
      <c r="C347" s="15" t="str">
        <f t="shared" si="2"/>
        <v>2026-04</v>
      </c>
      <c r="D347" s="15">
        <f t="shared" si="3"/>
        <v>4</v>
      </c>
      <c r="E347" s="15" t="str">
        <f t="shared" si="4"/>
        <v>kwietnia</v>
      </c>
      <c r="F347" s="15" t="str">
        <f t="shared" si="5"/>
        <v>Q2</v>
      </c>
      <c r="G347" s="15" t="str">
        <f t="shared" si="6"/>
        <v>Spring</v>
      </c>
      <c r="H347" s="16">
        <f>weather_data!E347-weather_data!D347</f>
        <v>-0.8</v>
      </c>
      <c r="I347" s="15">
        <f>IF(OR(weather_data!H347="light rain",weather_data!H347="moderate rain",weather_data!H347="drizzle",weather_data!H347="thunderstorm"),1,0)</f>
        <v>0</v>
      </c>
      <c r="J347" s="15">
        <f>IF(weather_data!I347&gt;=25,1,0)</f>
        <v>0</v>
      </c>
    </row>
    <row r="348" ht="15.75" customHeight="1">
      <c r="A348" s="13">
        <f>weather_data!B348</f>
        <v>46114.41667</v>
      </c>
      <c r="B348" s="14">
        <f t="shared" si="1"/>
        <v>46114</v>
      </c>
      <c r="C348" s="15" t="str">
        <f t="shared" si="2"/>
        <v>2026-04</v>
      </c>
      <c r="D348" s="15">
        <f t="shared" si="3"/>
        <v>4</v>
      </c>
      <c r="E348" s="15" t="str">
        <f t="shared" si="4"/>
        <v>kwietnia</v>
      </c>
      <c r="F348" s="15" t="str">
        <f t="shared" si="5"/>
        <v>Q2</v>
      </c>
      <c r="G348" s="15" t="str">
        <f t="shared" si="6"/>
        <v>Spring</v>
      </c>
      <c r="H348" s="16">
        <f>weather_data!E348-weather_data!D348</f>
        <v>-0.5</v>
      </c>
      <c r="I348" s="15">
        <f>IF(OR(weather_data!H348="light rain",weather_data!H348="moderate rain",weather_data!H348="drizzle",weather_data!H348="thunderstorm"),1,0)</f>
        <v>0</v>
      </c>
      <c r="J348" s="15">
        <f>IF(weather_data!I348&gt;=25,1,0)</f>
        <v>1</v>
      </c>
    </row>
    <row r="349" ht="15.75" customHeight="1">
      <c r="A349" s="13">
        <f>weather_data!B349</f>
        <v>46115.88889</v>
      </c>
      <c r="B349" s="14">
        <f t="shared" si="1"/>
        <v>46115</v>
      </c>
      <c r="C349" s="15" t="str">
        <f t="shared" si="2"/>
        <v>2026-04</v>
      </c>
      <c r="D349" s="15">
        <f t="shared" si="3"/>
        <v>4</v>
      </c>
      <c r="E349" s="15" t="str">
        <f t="shared" si="4"/>
        <v>kwietnia</v>
      </c>
      <c r="F349" s="15" t="str">
        <f t="shared" si="5"/>
        <v>Q2</v>
      </c>
      <c r="G349" s="15" t="str">
        <f t="shared" si="6"/>
        <v>Spring</v>
      </c>
      <c r="H349" s="16">
        <f>weather_data!E349-weather_data!D349</f>
        <v>-0.4</v>
      </c>
      <c r="I349" s="15">
        <f>IF(OR(weather_data!H349="light rain",weather_data!H349="moderate rain",weather_data!H349="drizzle",weather_data!H349="thunderstorm"),1,0)</f>
        <v>0</v>
      </c>
      <c r="J349" s="15">
        <f>IF(weather_data!I349&gt;=25,1,0)</f>
        <v>0</v>
      </c>
    </row>
    <row r="350" ht="15.75" customHeight="1">
      <c r="A350" s="13">
        <f>weather_data!B350</f>
        <v>46116.69444</v>
      </c>
      <c r="B350" s="14">
        <f t="shared" si="1"/>
        <v>46116</v>
      </c>
      <c r="C350" s="15" t="str">
        <f t="shared" si="2"/>
        <v>2026-04</v>
      </c>
      <c r="D350" s="15">
        <f t="shared" si="3"/>
        <v>4</v>
      </c>
      <c r="E350" s="15" t="str">
        <f t="shared" si="4"/>
        <v>kwietnia</v>
      </c>
      <c r="F350" s="15" t="str">
        <f t="shared" si="5"/>
        <v>Q2</v>
      </c>
      <c r="G350" s="15" t="str">
        <f t="shared" si="6"/>
        <v>Spring</v>
      </c>
      <c r="H350" s="16">
        <f>weather_data!E350-weather_data!D350</f>
        <v>0.9</v>
      </c>
      <c r="I350" s="15">
        <f>IF(OR(weather_data!H350="light rain",weather_data!H350="moderate rain",weather_data!H350="drizzle",weather_data!H350="thunderstorm"),1,0)</f>
        <v>1</v>
      </c>
      <c r="J350" s="15">
        <f>IF(weather_data!I350&gt;=25,1,0)</f>
        <v>0</v>
      </c>
    </row>
    <row r="351" ht="15.75" customHeight="1">
      <c r="A351" s="13">
        <f>weather_data!B351</f>
        <v>46117.78472</v>
      </c>
      <c r="B351" s="14">
        <f t="shared" si="1"/>
        <v>46117</v>
      </c>
      <c r="C351" s="15" t="str">
        <f t="shared" si="2"/>
        <v>2026-04</v>
      </c>
      <c r="D351" s="15">
        <f t="shared" si="3"/>
        <v>4</v>
      </c>
      <c r="E351" s="15" t="str">
        <f t="shared" si="4"/>
        <v>kwietnia</v>
      </c>
      <c r="F351" s="15" t="str">
        <f t="shared" si="5"/>
        <v>Q2</v>
      </c>
      <c r="G351" s="15" t="str">
        <f t="shared" si="6"/>
        <v>Spring</v>
      </c>
      <c r="H351" s="16">
        <f>weather_data!E351-weather_data!D351</f>
        <v>1</v>
      </c>
      <c r="I351" s="15">
        <f>IF(OR(weather_data!H351="light rain",weather_data!H351="moderate rain",weather_data!H351="drizzle",weather_data!H351="thunderstorm"),1,0)</f>
        <v>0</v>
      </c>
      <c r="J351" s="15">
        <f>IF(weather_data!I351&gt;=25,1,0)</f>
        <v>0</v>
      </c>
    </row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